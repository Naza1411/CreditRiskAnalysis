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yanwune chekwube\Downloads\CreditRiskAnalysis\week_2\"/>
    </mc:Choice>
  </mc:AlternateContent>
  <bookViews>
    <workbookView xWindow="0" yWindow="0" windowWidth="13280" windowHeight="5040" activeTab="3"/>
  </bookViews>
  <sheets>
    <sheet name="Sheet1" sheetId="6" r:id="rId1"/>
    <sheet name="Flat Rate Balance" sheetId="5" r:id="rId2"/>
    <sheet name="Reducing Balance Schedule" sheetId="3" r:id="rId3"/>
    <sheet name="Scenario Comparison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5" l="1"/>
  <c r="I34" i="5"/>
  <c r="D34" i="5"/>
  <c r="J33" i="5"/>
  <c r="I33" i="5"/>
  <c r="H34" i="5"/>
  <c r="H33" i="5"/>
  <c r="F34" i="5"/>
  <c r="F33" i="5"/>
  <c r="E34" i="5"/>
  <c r="E33" i="5"/>
  <c r="D33" i="5"/>
  <c r="I32" i="5"/>
  <c r="H32" i="5"/>
  <c r="J32" i="5" s="1"/>
  <c r="G32" i="5"/>
  <c r="F32" i="5"/>
  <c r="E32" i="5"/>
  <c r="D32" i="5"/>
  <c r="I31" i="5"/>
  <c r="J30" i="5"/>
  <c r="J31" i="5"/>
  <c r="D31" i="5"/>
  <c r="I30" i="5"/>
  <c r="H31" i="5"/>
  <c r="H30" i="5"/>
  <c r="F31" i="5"/>
  <c r="F30" i="5"/>
  <c r="E31" i="5"/>
  <c r="E30" i="5"/>
  <c r="D30" i="5"/>
  <c r="I29" i="5"/>
  <c r="H29" i="5"/>
  <c r="J29" i="5"/>
  <c r="G29" i="5"/>
  <c r="F29" i="5"/>
  <c r="E29" i="5"/>
  <c r="D29" i="5"/>
  <c r="J28" i="5" l="1"/>
  <c r="I28" i="5"/>
  <c r="D28" i="5"/>
  <c r="D27" i="5"/>
  <c r="J26" i="5"/>
  <c r="J27" i="5"/>
  <c r="H26" i="5"/>
  <c r="I27" i="5"/>
  <c r="I26" i="5"/>
  <c r="H27" i="5"/>
  <c r="H28" i="5" s="1"/>
  <c r="E28" i="5"/>
  <c r="E27" i="5"/>
  <c r="G26" i="5"/>
  <c r="F26" i="5"/>
  <c r="E26" i="5"/>
  <c r="D26" i="5"/>
  <c r="I4" i="6"/>
  <c r="I2" i="6"/>
  <c r="G4" i="4"/>
  <c r="F4" i="4"/>
  <c r="G3" i="4"/>
  <c r="F3" i="4"/>
  <c r="G2" i="4"/>
  <c r="F2" i="4"/>
  <c r="K20" i="5"/>
  <c r="J25" i="5"/>
  <c r="D25" i="5"/>
  <c r="I25" i="5"/>
  <c r="I23" i="5"/>
  <c r="H25" i="5"/>
  <c r="F25" i="5"/>
  <c r="E25" i="5"/>
  <c r="H24" i="5"/>
  <c r="J24" i="5"/>
  <c r="F24" i="5"/>
  <c r="I24" i="5" s="1"/>
  <c r="E24" i="5"/>
  <c r="D24" i="5"/>
  <c r="H23" i="5"/>
  <c r="J23" i="5" s="1"/>
  <c r="G23" i="5"/>
  <c r="F23" i="5"/>
  <c r="E23" i="5"/>
  <c r="D23" i="5"/>
  <c r="J19" i="5"/>
  <c r="J20" i="5"/>
  <c r="J21" i="5"/>
  <c r="J22" i="5"/>
  <c r="D20" i="5"/>
  <c r="D21" i="5" s="1"/>
  <c r="D22" i="5" s="1"/>
  <c r="I22" i="5"/>
  <c r="I19" i="5"/>
  <c r="I20" i="5"/>
  <c r="I21" i="5"/>
  <c r="H19" i="5"/>
  <c r="H20" i="5" s="1"/>
  <c r="H21" i="5" s="1"/>
  <c r="H22" i="5" s="1"/>
  <c r="J18" i="5"/>
  <c r="D19" i="5"/>
  <c r="I18" i="5"/>
  <c r="H18" i="5"/>
  <c r="F19" i="5"/>
  <c r="F20" i="5" s="1"/>
  <c r="F21" i="5" s="1"/>
  <c r="F22" i="5" s="1"/>
  <c r="F18" i="5"/>
  <c r="E19" i="5"/>
  <c r="E20" i="5"/>
  <c r="E21" i="5"/>
  <c r="E22" i="5"/>
  <c r="E18" i="5"/>
  <c r="D18" i="5"/>
  <c r="E17" i="5"/>
  <c r="G17" i="5"/>
  <c r="F17" i="5"/>
  <c r="D17" i="5"/>
  <c r="H17" i="5" s="1"/>
  <c r="E14" i="5"/>
  <c r="G14" i="5"/>
  <c r="F14" i="5"/>
  <c r="F15" i="5" s="1"/>
  <c r="F16" i="5" s="1"/>
  <c r="D14" i="5"/>
  <c r="J14" i="5" s="1"/>
  <c r="D15" i="5" s="1"/>
  <c r="G11" i="5"/>
  <c r="E11" i="5"/>
  <c r="E12" i="5" s="1"/>
  <c r="I12" i="5" s="1"/>
  <c r="D11" i="5"/>
  <c r="G8" i="5"/>
  <c r="F8" i="5"/>
  <c r="F9" i="5" s="1"/>
  <c r="F10" i="5" s="1"/>
  <c r="E8" i="5"/>
  <c r="D8" i="5"/>
  <c r="F5" i="5"/>
  <c r="F6" i="5" s="1"/>
  <c r="F7" i="5" s="1"/>
  <c r="E5" i="5"/>
  <c r="E6" i="5" s="1"/>
  <c r="G5" i="5"/>
  <c r="D5" i="5"/>
  <c r="G2" i="5"/>
  <c r="E2" i="5"/>
  <c r="E3" i="5" s="1"/>
  <c r="D2" i="5"/>
  <c r="F2" i="5"/>
  <c r="F3" i="5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" i="6"/>
  <c r="I3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H3" i="4" l="1"/>
  <c r="H2" i="4"/>
  <c r="H4" i="4"/>
  <c r="F4" i="5"/>
  <c r="H3" i="5"/>
  <c r="H11" i="5"/>
  <c r="H2" i="5"/>
  <c r="I5" i="5"/>
  <c r="J8" i="5"/>
  <c r="I11" i="5"/>
  <c r="H8" i="5"/>
  <c r="J11" i="5"/>
  <c r="I14" i="5"/>
  <c r="J2" i="5"/>
  <c r="D3" i="5" s="1"/>
  <c r="J5" i="5"/>
  <c r="D6" i="5" s="1"/>
  <c r="J6" i="5" s="1"/>
  <c r="I17" i="5"/>
  <c r="D9" i="5"/>
  <c r="H6" i="5"/>
  <c r="I6" i="5" s="1"/>
  <c r="E7" i="5"/>
  <c r="H7" i="5" s="1"/>
  <c r="I7" i="5" s="1"/>
  <c r="D12" i="5"/>
  <c r="J12" i="5" s="1"/>
  <c r="D13" i="5"/>
  <c r="D4" i="5"/>
  <c r="J3" i="5"/>
  <c r="I2" i="5"/>
  <c r="E4" i="5"/>
  <c r="I3" i="5"/>
  <c r="E9" i="5"/>
  <c r="E13" i="5"/>
  <c r="H14" i="5"/>
  <c r="E15" i="5"/>
  <c r="J15" i="5" s="1"/>
  <c r="D16" i="5" s="1"/>
  <c r="I8" i="5"/>
  <c r="H5" i="5"/>
  <c r="H12" i="5"/>
  <c r="J17" i="5"/>
  <c r="J4" i="5" l="1"/>
  <c r="I15" i="5"/>
  <c r="E16" i="5"/>
  <c r="H15" i="5"/>
  <c r="D7" i="5"/>
  <c r="J7" i="5" s="1"/>
  <c r="J13" i="5"/>
  <c r="I13" i="5"/>
  <c r="H13" i="5"/>
  <c r="E10" i="5"/>
  <c r="I9" i="5"/>
  <c r="H9" i="5"/>
  <c r="H4" i="5"/>
  <c r="I4" i="5"/>
  <c r="J9" i="5"/>
  <c r="I16" i="5" l="1"/>
  <c r="H16" i="5"/>
  <c r="D10" i="5"/>
  <c r="J10" i="5"/>
  <c r="H10" i="5"/>
  <c r="I10" i="5"/>
  <c r="J16" i="5"/>
</calcChain>
</file>

<file path=xl/sharedStrings.xml><?xml version="1.0" encoding="utf-8"?>
<sst xmlns="http://schemas.openxmlformats.org/spreadsheetml/2006/main" count="183" uniqueCount="75">
  <si>
    <t>Principal (₦)</t>
  </si>
  <si>
    <t>Monthly payment</t>
  </si>
  <si>
    <t>Payment No</t>
  </si>
  <si>
    <t>Due Date</t>
  </si>
  <si>
    <t>Opening Balance</t>
  </si>
  <si>
    <t>Principal</t>
  </si>
  <si>
    <t>Interest</t>
  </si>
  <si>
    <t>Fee</t>
  </si>
  <si>
    <t>Closing Balance</t>
  </si>
  <si>
    <t>loan_id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</si>
  <si>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</si>
  <si>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</si>
  <si>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</si>
  <si>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</si>
  <si>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</si>
  <si>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</si>
  <si>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</si>
  <si>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</si>
  <si>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</si>
  <si>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</si>
  <si>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</si>
  <si>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</si>
  <si>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</si>
  <si>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</si>
  <si>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</si>
  <si>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</si>
  <si>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</si>
  <si>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</si>
  <si>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</si>
  <si>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</si>
  <si>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</si>
  <si>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</si>
  <si>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</si>
  <si>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</si>
  <si>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</si>
  <si>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</si>
  <si>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</si>
  <si>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</si>
  <si>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</si>
  <si>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</si>
  <si>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</si>
  <si>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</si>
  <si>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</si>
  <si>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</si>
  <si>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</si>
  <si>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</si>
  <si>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</si>
  <si>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</si>
  <si>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</si>
  <si>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</si>
  <si>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</si>
  <si>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principal</t>
  </si>
  <si>
    <t>processing_fees</t>
  </si>
  <si>
    <t>disbursement_date</t>
  </si>
  <si>
    <t>annual_Interest_Rate</t>
  </si>
  <si>
    <t>term_months</t>
  </si>
  <si>
    <t>repayment_frequency</t>
  </si>
  <si>
    <t>monthly</t>
  </si>
  <si>
    <t>monthly_interest</t>
  </si>
  <si>
    <t>total_installment</t>
  </si>
  <si>
    <t>validation</t>
  </si>
  <si>
    <t>OK</t>
  </si>
  <si>
    <t>due_date</t>
  </si>
  <si>
    <t>inst_no</t>
  </si>
  <si>
    <t>LO11</t>
  </si>
  <si>
    <t>LO16</t>
  </si>
  <si>
    <t>Scenario</t>
  </si>
  <si>
    <t>Monthly Rate</t>
  </si>
  <si>
    <t>Flat: Total Repayment (₦)</t>
  </si>
  <si>
    <t>Reducing: Total Repayment (₦)</t>
  </si>
  <si>
    <t>Savings with Reducing (₦)</t>
  </si>
  <si>
    <t>Scenario 1</t>
  </si>
  <si>
    <t>Scenario 2</t>
  </si>
  <si>
    <t>Scenario 3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</si>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</sst>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\₦#,##0"/>
    <numFmt numFmtId="166" formatCode="0.0%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9" fontId="0" fillId="0" borderId="0" xfId="1" applyFont="1" applyAlignment="1"/>
    <xf numFmtId="0" fontId="0" fillId="0" borderId="0" xfId="0" applyAlignment="1"/>
    <xf numFmtId="0" fontId="0" fillId="0" borderId="0" xfId="0" applyAlignment="1">
      <alignment vertical="center" wrapText="1"/>
    </xf>
    <xf numFmtId="9" fontId="0" fillId="0" borderId="0" xfId="1" applyFont="1"/>
    <xf numFmtId="0" fontId="3" fillId="2" borderId="0" xfId="0" applyFont="1" applyFill="1" applyAlignment="1">
      <alignment horizontal="center" vertical="center" wrapText="1"/>
    </xf>
    <xf numFmtId="164" fontId="0" fillId="0" borderId="0" xfId="2" applyNumberFormat="1" applyFont="1"/>
    <xf numFmtId="0" fontId="3" fillId="2" borderId="0" xfId="0" applyFont="1" applyFill="1" applyAlignment="1">
      <alignment horizontal="center" vertical="center"/>
    </xf>
    <xf numFmtId="164" fontId="0" fillId="0" borderId="0" xfId="2" applyNumberFormat="1" applyFont="1" applyAlignment="1"/>
    <xf numFmtId="164" fontId="0" fillId="0" borderId="0" xfId="2" applyNumberFormat="1" applyFont="1" applyAlignment="1">
      <alignment vertical="center" wrapText="1"/>
    </xf>
    <xf numFmtId="164" fontId="3" fillId="2" borderId="0" xfId="2" applyNumberFormat="1" applyFont="1" applyFill="1" applyAlignment="1">
      <alignment horizontal="center" vertical="center"/>
    </xf>
    <xf numFmtId="164" fontId="0" fillId="0" borderId="0" xfId="2" applyNumberFormat="1" applyFont="1" applyAlignment="1">
      <alignment vertical="center"/>
    </xf>
    <xf numFmtId="14" fontId="0" fillId="0" borderId="0" xfId="0" applyNumberFormat="1" applyAlignment="1">
      <alignment vertical="center"/>
    </xf>
    <xf numFmtId="164" fontId="0" fillId="0" borderId="0" xfId="0" applyNumberFormat="1"/>
    <xf numFmtId="43" fontId="0" fillId="0" borderId="0" xfId="2" applyFont="1"/>
    <xf numFmtId="14" fontId="0" fillId="0" borderId="0" xfId="0" applyNumberFormat="1"/>
    <xf numFmtId="14" fontId="4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14" fontId="0" fillId="3" borderId="1" xfId="0" applyNumberFormat="1" applyFill="1" applyBorder="1"/>
    <xf numFmtId="164" fontId="0" fillId="3" borderId="0" xfId="2" applyNumberFormat="1" applyFont="1" applyFill="1" applyAlignment="1"/>
    <xf numFmtId="164" fontId="0" fillId="3" borderId="0" xfId="2" applyNumberFormat="1" applyFont="1" applyFill="1"/>
    <xf numFmtId="0" fontId="0" fillId="3" borderId="0" xfId="0" applyFill="1"/>
    <xf numFmtId="164" fontId="0" fillId="3" borderId="0" xfId="0" applyNumberFormat="1" applyFill="1"/>
    <xf numFmtId="14" fontId="0" fillId="0" borderId="1" xfId="0" applyNumberFormat="1" applyFill="1" applyBorder="1"/>
    <xf numFmtId="164" fontId="0" fillId="0" borderId="0" xfId="2" applyNumberFormat="1" applyFont="1" applyFill="1" applyAlignment="1"/>
    <xf numFmtId="164" fontId="0" fillId="0" borderId="0" xfId="2" applyNumberFormat="1" applyFont="1" applyFill="1"/>
    <xf numFmtId="0" fontId="0" fillId="0" borderId="0" xfId="0" applyFill="1"/>
    <xf numFmtId="164" fontId="0" fillId="0" borderId="0" xfId="0" applyNumberFormat="1" applyFill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6" fontId="7" fillId="0" borderId="1" xfId="0" applyNumberFormat="1" applyFont="1" applyBorder="1"/>
    <xf numFmtId="165" fontId="6" fillId="0" borderId="1" xfId="0" applyNumberFormat="1" applyFont="1" applyBorder="1"/>
    <xf numFmtId="165" fontId="8" fillId="0" borderId="1" xfId="0" applyNumberFormat="1" applyFont="1" applyBorder="1"/>
    <xf numFmtId="0" fontId="5" fillId="4" borderId="1" xfId="0" applyFont="1" applyFill="1" applyBorder="1" applyAlignment="1">
      <alignment horizontal="center" vertical="center"/>
    </xf>
    <xf numFmtId="164" fontId="9" fillId="2" borderId="0" xfId="2" applyNumberFormat="1" applyFont="1" applyFill="1" applyAlignment="1">
      <alignment horizontal="center" vertical="center" wrapText="1"/>
    </xf>
    <xf numFmtId="164" fontId="10" fillId="0" borderId="0" xfId="2" applyNumberFormat="1" applyFont="1" applyAlignment="1">
      <alignment vertical="center" wrapText="1"/>
    </xf>
    <xf numFmtId="0" fontId="10" fillId="0" borderId="0" xfId="0" applyFont="1" applyAlignment="1"/>
    <xf numFmtId="164" fontId="10" fillId="0" borderId="0" xfId="2" applyNumberFormat="1" applyFont="1"/>
    <xf numFmtId="164" fontId="10" fillId="0" borderId="0" xfId="2" applyNumberFormat="1" applyFont="1" applyAlignment="1"/>
    <xf numFmtId="165" fontId="11" fillId="0" borderId="1" xfId="0" applyNumberFormat="1" applyFont="1" applyBorder="1"/>
    <xf numFmtId="0" fontId="1" fillId="0" borderId="0" xfId="0" applyFont="1"/>
    <xf numFmtId="0" fontId="12" fillId="4" borderId="1" xfId="0" applyFont="1" applyFill="1" applyBorder="1" applyAlignment="1">
      <alignment horizontal="center" vertical="center"/>
    </xf>
    <xf numFmtId="165" fontId="11" fillId="5" borderId="1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I2" sqref="I2:I4"/>
    </sheetView>
  </sheetViews>
  <sheetFormatPr defaultRowHeight="14.5"/>
  <cols>
    <col min="2" max="2" width="11.26953125" style="3" bestFit="1" customWidth="1"/>
    <col min="3" max="3" width="10.7265625" style="41" bestFit="1" customWidth="1"/>
    <col min="4" max="4" width="18" style="3" bestFit="1" customWidth="1"/>
    <col min="5" max="5" width="14.1796875" style="9" bestFit="1" customWidth="1"/>
    <col min="6" max="6" width="17.36328125" style="3" bestFit="1" customWidth="1"/>
    <col min="7" max="7" width="14.26953125" style="3" bestFit="1" customWidth="1"/>
    <col min="8" max="8" width="20.81640625" bestFit="1" customWidth="1"/>
    <col min="10" max="10" width="16.26953125" style="42" bestFit="1" customWidth="1"/>
  </cols>
  <sheetData>
    <row r="1" spans="1:11">
      <c r="A1" s="6" t="s">
        <v>9</v>
      </c>
      <c r="B1" s="8" t="s">
        <v>30</v>
      </c>
      <c r="C1" s="38" t="s">
        <v>51</v>
      </c>
      <c r="D1" s="3" t="s">
        <v>54</v>
      </c>
      <c r="E1" s="11" t="s">
        <v>52</v>
      </c>
      <c r="F1" s="8" t="s">
        <v>53</v>
      </c>
      <c r="G1" s="8" t="s">
        <v>55</v>
      </c>
      <c r="H1" s="11" t="s">
        <v>56</v>
      </c>
      <c r="I1" t="s">
        <v>58</v>
      </c>
      <c r="J1" s="42" t="s">
        <v>59</v>
      </c>
      <c r="K1" t="s">
        <v>60</v>
      </c>
    </row>
    <row r="2" spans="1:11">
      <c r="A2" s="4" t="s">
        <v>10</v>
      </c>
      <c r="B2" s="1" t="s">
        <v>31</v>
      </c>
      <c r="C2" s="39">
        <v>50000</v>
      </c>
      <c r="D2" s="2">
        <v>0.48</v>
      </c>
      <c r="E2" s="12">
        <v>1000</v>
      </c>
      <c r="F2" s="13">
        <v>45840</v>
      </c>
      <c r="G2" s="1">
        <v>3</v>
      </c>
      <c r="H2" t="s">
        <v>57</v>
      </c>
      <c r="I2" s="5">
        <f>D2/12</f>
        <v>0.04</v>
      </c>
      <c r="J2" s="42">
        <f>C2*I2*G2+C2+E2</f>
        <v>57000</v>
      </c>
      <c r="K2" t="s">
        <v>61</v>
      </c>
    </row>
    <row r="3" spans="1:11">
      <c r="A3" s="4" t="s">
        <v>11</v>
      </c>
      <c r="B3" s="1" t="s">
        <v>32</v>
      </c>
      <c r="C3" s="39">
        <v>70000</v>
      </c>
      <c r="D3" s="2">
        <v>0.48</v>
      </c>
      <c r="E3" s="12">
        <v>2000</v>
      </c>
      <c r="F3" s="13">
        <v>45872</v>
      </c>
      <c r="G3" s="1">
        <v>3</v>
      </c>
      <c r="H3" t="s">
        <v>57</v>
      </c>
      <c r="I3" s="5">
        <f t="shared" ref="I3:I21" si="0">D3/12</f>
        <v>0.04</v>
      </c>
      <c r="J3" s="42">
        <f t="shared" ref="J3:J21" si="1">C3*I3*G3+C3+E3</f>
        <v>80400</v>
      </c>
      <c r="K3" t="s">
        <v>61</v>
      </c>
    </row>
    <row r="4" spans="1:11">
      <c r="A4" s="4" t="s">
        <v>12</v>
      </c>
      <c r="B4" s="1" t="s">
        <v>33</v>
      </c>
      <c r="C4" s="39">
        <v>90000</v>
      </c>
      <c r="D4" s="2">
        <v>0.48</v>
      </c>
      <c r="E4" s="12">
        <v>2000</v>
      </c>
      <c r="F4" s="13">
        <v>45842</v>
      </c>
      <c r="G4" s="1">
        <v>3</v>
      </c>
      <c r="H4" t="s">
        <v>57</v>
      </c>
      <c r="I4" s="5">
        <f>D4/12</f>
        <v>0.04</v>
      </c>
      <c r="J4" s="42">
        <f t="shared" si="1"/>
        <v>102800</v>
      </c>
      <c r="K4" t="s">
        <v>61</v>
      </c>
    </row>
    <row r="5" spans="1:11">
      <c r="A5" s="4" t="s">
        <v>13</v>
      </c>
      <c r="B5" s="1" t="s">
        <v>34</v>
      </c>
      <c r="C5" s="39">
        <v>110000</v>
      </c>
      <c r="D5" s="2">
        <v>0.48</v>
      </c>
      <c r="E5" s="12">
        <v>3000</v>
      </c>
      <c r="F5" s="13">
        <v>45907</v>
      </c>
      <c r="G5" s="1">
        <v>3</v>
      </c>
      <c r="H5" t="s">
        <v>57</v>
      </c>
      <c r="I5" s="5">
        <f t="shared" si="0"/>
        <v>0.04</v>
      </c>
      <c r="J5" s="42">
        <f t="shared" si="1"/>
        <v>126200</v>
      </c>
      <c r="K5" t="s">
        <v>61</v>
      </c>
    </row>
    <row r="6" spans="1:11">
      <c r="A6" s="4" t="s">
        <v>14</v>
      </c>
      <c r="B6" s="1" t="s">
        <v>35</v>
      </c>
      <c r="C6" s="39">
        <v>130000</v>
      </c>
      <c r="D6" s="2">
        <v>0.48</v>
      </c>
      <c r="E6" s="12">
        <v>3000</v>
      </c>
      <c r="F6" s="13">
        <v>45938</v>
      </c>
      <c r="G6" s="1">
        <v>3</v>
      </c>
      <c r="H6" t="s">
        <v>57</v>
      </c>
      <c r="I6" s="5">
        <f t="shared" si="0"/>
        <v>0.04</v>
      </c>
      <c r="J6" s="42">
        <f t="shared" si="1"/>
        <v>148600</v>
      </c>
      <c r="K6" t="s">
        <v>61</v>
      </c>
    </row>
    <row r="7" spans="1:11">
      <c r="A7" s="4" t="s">
        <v>15</v>
      </c>
      <c r="B7" s="1" t="s">
        <v>36</v>
      </c>
      <c r="C7" s="39">
        <v>150000</v>
      </c>
      <c r="D7" s="2">
        <v>0.48</v>
      </c>
      <c r="E7" s="12">
        <v>5000</v>
      </c>
      <c r="F7" s="13">
        <v>45847</v>
      </c>
      <c r="G7" s="1">
        <v>6</v>
      </c>
      <c r="H7" t="s">
        <v>57</v>
      </c>
      <c r="I7" s="5">
        <f t="shared" si="0"/>
        <v>0.04</v>
      </c>
      <c r="J7" s="42">
        <f t="shared" si="1"/>
        <v>191000</v>
      </c>
      <c r="K7" t="s">
        <v>61</v>
      </c>
    </row>
    <row r="8" spans="1:11">
      <c r="A8" s="4" t="s">
        <v>16</v>
      </c>
      <c r="B8" s="1" t="s">
        <v>37</v>
      </c>
      <c r="C8" s="39">
        <v>170000</v>
      </c>
      <c r="D8" s="2">
        <v>0.48</v>
      </c>
      <c r="E8" s="12">
        <v>2500</v>
      </c>
      <c r="F8" s="13">
        <v>45848</v>
      </c>
      <c r="G8" s="1">
        <v>3</v>
      </c>
      <c r="H8" t="s">
        <v>57</v>
      </c>
      <c r="I8" s="5">
        <f t="shared" si="0"/>
        <v>0.04</v>
      </c>
      <c r="J8" s="42">
        <f t="shared" si="1"/>
        <v>192900</v>
      </c>
      <c r="K8" t="s">
        <v>61</v>
      </c>
    </row>
    <row r="9" spans="1:11">
      <c r="A9" s="4" t="s">
        <v>17</v>
      </c>
      <c r="B9" s="1" t="s">
        <v>38</v>
      </c>
      <c r="C9" s="39">
        <v>60000</v>
      </c>
      <c r="D9" s="2">
        <v>0.48</v>
      </c>
      <c r="E9" s="12">
        <v>1000</v>
      </c>
      <c r="F9" s="13">
        <v>45849</v>
      </c>
      <c r="G9" s="1">
        <v>3</v>
      </c>
      <c r="H9" t="s">
        <v>57</v>
      </c>
      <c r="I9" s="5">
        <f t="shared" si="0"/>
        <v>0.04</v>
      </c>
      <c r="J9" s="42">
        <f t="shared" si="1"/>
        <v>68200</v>
      </c>
      <c r="K9" t="s">
        <v>61</v>
      </c>
    </row>
    <row r="10" spans="1:11">
      <c r="A10" s="4" t="s">
        <v>18</v>
      </c>
      <c r="B10" s="1" t="s">
        <v>39</v>
      </c>
      <c r="C10" s="39">
        <v>80000</v>
      </c>
      <c r="D10" s="2">
        <v>0.48</v>
      </c>
      <c r="E10" s="12">
        <v>2000</v>
      </c>
      <c r="F10" s="13">
        <v>45850</v>
      </c>
      <c r="G10" s="1">
        <v>3</v>
      </c>
      <c r="H10" t="s">
        <v>57</v>
      </c>
      <c r="I10" s="5">
        <f t="shared" si="0"/>
        <v>0.04</v>
      </c>
      <c r="J10" s="42">
        <f t="shared" si="1"/>
        <v>91600</v>
      </c>
      <c r="K10" t="s">
        <v>61</v>
      </c>
    </row>
    <row r="11" spans="1:11">
      <c r="A11" s="4" t="s">
        <v>19</v>
      </c>
      <c r="B11" s="1" t="s">
        <v>40</v>
      </c>
      <c r="C11" s="39">
        <v>100000</v>
      </c>
      <c r="D11" s="2">
        <v>0.48</v>
      </c>
      <c r="E11" s="12">
        <v>3000</v>
      </c>
      <c r="F11" s="13">
        <v>45851</v>
      </c>
      <c r="G11" s="1">
        <v>3</v>
      </c>
      <c r="H11" t="s">
        <v>57</v>
      </c>
      <c r="I11" s="5">
        <f t="shared" si="0"/>
        <v>0.04</v>
      </c>
      <c r="J11" s="42">
        <f t="shared" si="1"/>
        <v>115000</v>
      </c>
      <c r="K11" t="s">
        <v>61</v>
      </c>
    </row>
    <row r="12" spans="1:11">
      <c r="A12" s="4" t="s">
        <v>20</v>
      </c>
      <c r="B12" s="1" t="s">
        <v>41</v>
      </c>
      <c r="C12" s="39">
        <v>120000</v>
      </c>
      <c r="D12" s="2">
        <v>0.48</v>
      </c>
      <c r="E12" s="12">
        <v>3000</v>
      </c>
      <c r="F12" s="13">
        <v>45852</v>
      </c>
      <c r="G12" s="1">
        <v>12</v>
      </c>
      <c r="H12" t="s">
        <v>57</v>
      </c>
      <c r="I12" s="5">
        <f t="shared" si="0"/>
        <v>0.04</v>
      </c>
      <c r="J12" s="42">
        <f t="shared" si="1"/>
        <v>180600</v>
      </c>
      <c r="K12" t="s">
        <v>61</v>
      </c>
    </row>
    <row r="13" spans="1:11">
      <c r="A13" s="4" t="s">
        <v>21</v>
      </c>
      <c r="B13" s="1" t="s">
        <v>42</v>
      </c>
      <c r="C13" s="39">
        <v>140000</v>
      </c>
      <c r="D13" s="2">
        <v>0.48</v>
      </c>
      <c r="E13" s="12">
        <v>3000</v>
      </c>
      <c r="F13" s="13">
        <v>45853</v>
      </c>
      <c r="G13" s="1">
        <v>3</v>
      </c>
      <c r="H13" t="s">
        <v>57</v>
      </c>
      <c r="I13" s="5">
        <f t="shared" si="0"/>
        <v>0.04</v>
      </c>
      <c r="J13" s="42">
        <f t="shared" si="1"/>
        <v>159800</v>
      </c>
      <c r="K13" t="s">
        <v>61</v>
      </c>
    </row>
    <row r="14" spans="1:11">
      <c r="A14" s="4" t="s">
        <v>22</v>
      </c>
      <c r="B14" s="1" t="s">
        <v>43</v>
      </c>
      <c r="C14" s="39">
        <v>160000</v>
      </c>
      <c r="D14" s="2">
        <v>0.48</v>
      </c>
      <c r="E14" s="9">
        <v>5000</v>
      </c>
      <c r="F14" s="13">
        <v>45854</v>
      </c>
      <c r="G14" s="1">
        <v>3</v>
      </c>
      <c r="H14" t="s">
        <v>57</v>
      </c>
      <c r="I14" s="5">
        <f t="shared" si="0"/>
        <v>0.04</v>
      </c>
      <c r="J14" s="42">
        <f t="shared" si="1"/>
        <v>184200</v>
      </c>
      <c r="K14" t="s">
        <v>61</v>
      </c>
    </row>
    <row r="15" spans="1:11">
      <c r="A15" s="4" t="s">
        <v>23</v>
      </c>
      <c r="B15" s="1" t="s">
        <v>44</v>
      </c>
      <c r="C15" s="39">
        <v>180000</v>
      </c>
      <c r="D15" s="2">
        <v>0.48</v>
      </c>
      <c r="E15" s="9">
        <v>5000</v>
      </c>
      <c r="F15" s="13">
        <v>45855</v>
      </c>
      <c r="G15" s="1">
        <v>3</v>
      </c>
      <c r="H15" t="s">
        <v>57</v>
      </c>
      <c r="I15" s="5">
        <f t="shared" si="0"/>
        <v>0.04</v>
      </c>
      <c r="J15" s="42">
        <f t="shared" si="1"/>
        <v>206600</v>
      </c>
      <c r="K15" t="s">
        <v>61</v>
      </c>
    </row>
    <row r="16" spans="1:11">
      <c r="A16" s="4" t="s">
        <v>24</v>
      </c>
      <c r="B16" s="1" t="s">
        <v>45</v>
      </c>
      <c r="C16" s="39">
        <v>200000</v>
      </c>
      <c r="D16" s="2">
        <v>0.48</v>
      </c>
      <c r="E16" s="9">
        <v>5000</v>
      </c>
      <c r="F16" s="13">
        <v>45856</v>
      </c>
      <c r="G16" s="1">
        <v>3</v>
      </c>
      <c r="H16" t="s">
        <v>57</v>
      </c>
      <c r="I16" s="5">
        <f t="shared" si="0"/>
        <v>0.04</v>
      </c>
      <c r="J16" s="42">
        <f t="shared" si="1"/>
        <v>229000</v>
      </c>
      <c r="K16" t="s">
        <v>61</v>
      </c>
    </row>
    <row r="17" spans="1:11">
      <c r="A17" s="4" t="s">
        <v>25</v>
      </c>
      <c r="B17" s="1" t="s">
        <v>46</v>
      </c>
      <c r="C17" s="39">
        <v>70000</v>
      </c>
      <c r="D17" s="2">
        <v>0.48</v>
      </c>
      <c r="E17" s="9">
        <v>2000</v>
      </c>
      <c r="F17" s="13">
        <v>45857</v>
      </c>
      <c r="G17" s="1">
        <v>3</v>
      </c>
      <c r="H17" t="s">
        <v>57</v>
      </c>
      <c r="I17" s="5">
        <f t="shared" si="0"/>
        <v>0.04</v>
      </c>
      <c r="J17" s="42">
        <f t="shared" si="1"/>
        <v>80400</v>
      </c>
      <c r="K17" t="s">
        <v>61</v>
      </c>
    </row>
    <row r="18" spans="1:11">
      <c r="A18" s="4" t="s">
        <v>26</v>
      </c>
      <c r="B18" s="1" t="s">
        <v>47</v>
      </c>
      <c r="C18" s="39">
        <v>90000</v>
      </c>
      <c r="D18" s="2">
        <v>0.48</v>
      </c>
      <c r="E18" s="9">
        <v>2000</v>
      </c>
      <c r="F18" s="13">
        <v>45858</v>
      </c>
      <c r="G18" s="1">
        <v>3</v>
      </c>
      <c r="H18" t="s">
        <v>57</v>
      </c>
      <c r="I18" s="5">
        <f t="shared" si="0"/>
        <v>0.04</v>
      </c>
      <c r="J18" s="42">
        <f t="shared" si="1"/>
        <v>102800</v>
      </c>
      <c r="K18" t="s">
        <v>61</v>
      </c>
    </row>
    <row r="19" spans="1:11">
      <c r="A19" s="4" t="s">
        <v>27</v>
      </c>
      <c r="B19" s="1" t="s">
        <v>48</v>
      </c>
      <c r="C19" s="39">
        <v>110000</v>
      </c>
      <c r="D19" s="2">
        <v>0.48</v>
      </c>
      <c r="E19" s="9">
        <v>3000</v>
      </c>
      <c r="F19" s="13">
        <v>45859</v>
      </c>
      <c r="G19" s="1">
        <v>3</v>
      </c>
      <c r="H19" t="s">
        <v>57</v>
      </c>
      <c r="I19" s="5">
        <f t="shared" si="0"/>
        <v>0.04</v>
      </c>
      <c r="J19" s="42">
        <f t="shared" si="1"/>
        <v>126200</v>
      </c>
      <c r="K19" t="s">
        <v>61</v>
      </c>
    </row>
    <row r="20" spans="1:11">
      <c r="A20" s="4" t="s">
        <v>28</v>
      </c>
      <c r="B20" s="1" t="s">
        <v>49</v>
      </c>
      <c r="C20" s="39">
        <v>50000</v>
      </c>
      <c r="D20" s="2">
        <v>0.48</v>
      </c>
      <c r="E20" s="9">
        <v>1000</v>
      </c>
      <c r="F20" s="13">
        <v>45860</v>
      </c>
      <c r="G20" s="1">
        <v>3</v>
      </c>
      <c r="H20" t="s">
        <v>57</v>
      </c>
      <c r="I20" s="5">
        <f t="shared" si="0"/>
        <v>0.04</v>
      </c>
      <c r="J20" s="42">
        <f t="shared" si="1"/>
        <v>57000</v>
      </c>
      <c r="K20" t="s">
        <v>61</v>
      </c>
    </row>
    <row r="21" spans="1:11">
      <c r="A21" s="4" t="s">
        <v>29</v>
      </c>
      <c r="B21" s="1" t="s">
        <v>50</v>
      </c>
      <c r="C21" s="39">
        <v>75000</v>
      </c>
      <c r="D21" s="2">
        <v>0.48</v>
      </c>
      <c r="E21" s="9">
        <v>1000</v>
      </c>
      <c r="F21" s="13">
        <v>45861</v>
      </c>
      <c r="G21" s="1">
        <v>3</v>
      </c>
      <c r="H21" t="s">
        <v>57</v>
      </c>
      <c r="I21" s="5">
        <f t="shared" si="0"/>
        <v>0.04</v>
      </c>
      <c r="J21" s="42">
        <f t="shared" si="1"/>
        <v>85000</v>
      </c>
      <c r="K21" t="s">
        <v>61</v>
      </c>
    </row>
    <row r="23" spans="1:11">
      <c r="A23" s="7"/>
      <c r="B23" s="9"/>
      <c r="C23" s="40"/>
      <c r="E23" s="3"/>
    </row>
    <row r="24" spans="1:11">
      <c r="A24" s="7"/>
      <c r="B24" s="9"/>
      <c r="C24" s="40"/>
      <c r="E24" s="3"/>
    </row>
    <row r="25" spans="1:11">
      <c r="A25" s="7"/>
      <c r="B25" s="9"/>
      <c r="C25" s="40"/>
      <c r="E25" s="3"/>
    </row>
    <row r="26" spans="1:11">
      <c r="A26" s="7"/>
      <c r="B26" s="9"/>
      <c r="C26" s="40"/>
      <c r="E26" s="3"/>
    </row>
    <row r="27" spans="1:11">
      <c r="A27" s="7"/>
      <c r="B27" s="9"/>
      <c r="C27" s="40"/>
      <c r="E27" s="3"/>
    </row>
    <row r="28" spans="1:11">
      <c r="A28" s="7"/>
      <c r="B28" s="9"/>
      <c r="C28" s="40"/>
      <c r="E28" s="3"/>
    </row>
    <row r="29" spans="1:11">
      <c r="A29" s="7"/>
      <c r="B29" s="9"/>
      <c r="C29" s="40"/>
      <c r="E29" s="3"/>
    </row>
    <row r="30" spans="1:11">
      <c r="A30" s="7"/>
      <c r="B30" s="9"/>
      <c r="C30" s="40"/>
      <c r="E30" s="3"/>
    </row>
    <row r="31" spans="1:11">
      <c r="A31" s="7"/>
      <c r="B31" s="9"/>
      <c r="C31" s="40"/>
      <c r="E31" s="3"/>
    </row>
    <row r="32" spans="1:11">
      <c r="A32" s="7"/>
      <c r="B32" s="9"/>
      <c r="C32" s="40"/>
      <c r="E32" s="3"/>
    </row>
    <row r="33" spans="1:5">
      <c r="A33" s="7"/>
      <c r="B33" s="9"/>
      <c r="C33" s="40"/>
      <c r="E33" s="3"/>
    </row>
    <row r="34" spans="1:5">
      <c r="A34" s="7"/>
      <c r="B34" s="9"/>
      <c r="C34" s="40"/>
      <c r="E34" s="3"/>
    </row>
    <row r="35" spans="1:5">
      <c r="A35" s="7"/>
      <c r="B35" s="9"/>
      <c r="C35" s="40"/>
      <c r="E35" s="3"/>
    </row>
    <row r="36" spans="1:5">
      <c r="A36" s="7"/>
      <c r="B36" s="9"/>
      <c r="C36" s="40"/>
      <c r="E36" s="3"/>
    </row>
    <row r="37" spans="1:5">
      <c r="A37" s="7"/>
      <c r="B37" s="9"/>
      <c r="C37" s="40"/>
      <c r="E37" s="3"/>
    </row>
    <row r="38" spans="1:5">
      <c r="A38" s="7"/>
      <c r="B38" s="9"/>
      <c r="C38" s="40"/>
      <c r="E38" s="3"/>
    </row>
    <row r="39" spans="1:5">
      <c r="A39" s="7"/>
      <c r="B39" s="9"/>
      <c r="C39" s="40"/>
      <c r="E39" s="3"/>
    </row>
    <row r="40" spans="1:5">
      <c r="A40" s="7"/>
      <c r="B40" s="9"/>
      <c r="C40" s="40"/>
      <c r="E40" s="3"/>
    </row>
    <row r="41" spans="1:5">
      <c r="A41" s="7"/>
      <c r="B41" s="9"/>
      <c r="C41" s="40"/>
      <c r="E41" s="3"/>
    </row>
    <row r="42" spans="1:5">
      <c r="A42" s="7"/>
      <c r="B42" s="9"/>
      <c r="C42" s="40"/>
      <c r="E42" s="3"/>
    </row>
    <row r="43" spans="1:5">
      <c r="A43" s="7"/>
      <c r="B43" s="9"/>
      <c r="C43" s="40"/>
      <c r="E43" s="3"/>
    </row>
    <row r="44" spans="1:5">
      <c r="A44" s="7"/>
      <c r="B44" s="9"/>
      <c r="C44" s="40"/>
      <c r="E44" s="3"/>
    </row>
    <row r="45" spans="1:5">
      <c r="A45" s="7"/>
      <c r="B45" s="9"/>
      <c r="C45" s="40"/>
      <c r="E45" s="3"/>
    </row>
    <row r="46" spans="1:5">
      <c r="A46" s="7"/>
      <c r="B46" s="9"/>
      <c r="C46" s="40"/>
      <c r="E46" s="3"/>
    </row>
    <row r="47" spans="1:5">
      <c r="A47" s="7"/>
      <c r="B47" s="9"/>
      <c r="C47" s="40"/>
      <c r="E47" s="3"/>
    </row>
    <row r="48" spans="1:5">
      <c r="A48" s="7"/>
      <c r="B48" s="9"/>
      <c r="C48" s="40"/>
      <c r="E48" s="3"/>
    </row>
    <row r="49" spans="1:5">
      <c r="A49" s="7"/>
      <c r="B49" s="9"/>
      <c r="C49" s="40"/>
      <c r="E49" s="3"/>
    </row>
    <row r="50" spans="1:5">
      <c r="A5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13" workbookViewId="0">
      <selection activeCell="J33" sqref="J33:J34"/>
    </sheetView>
  </sheetViews>
  <sheetFormatPr defaultColWidth="9" defaultRowHeight="14.5"/>
  <cols>
    <col min="1" max="1" width="9" style="3" customWidth="1"/>
    <col min="2" max="2" width="9.08984375" style="3" customWidth="1"/>
    <col min="3" max="3" width="21" style="16" customWidth="1"/>
    <col min="4" max="4" width="14.81640625" style="9" customWidth="1"/>
    <col min="5" max="5" width="11.36328125" style="7" customWidth="1"/>
    <col min="8" max="9" width="15.7265625" customWidth="1"/>
    <col min="10" max="10" width="13.7265625" customWidth="1"/>
    <col min="13" max="13" width="14.08984375" customWidth="1"/>
  </cols>
  <sheetData>
    <row r="1" spans="1:10">
      <c r="A1" s="8" t="s">
        <v>9</v>
      </c>
      <c r="B1" s="8" t="s">
        <v>63</v>
      </c>
      <c r="C1" s="17" t="s">
        <v>62</v>
      </c>
      <c r="D1" s="12" t="s">
        <v>4</v>
      </c>
      <c r="E1" s="10" t="s">
        <v>5</v>
      </c>
      <c r="F1" s="4" t="s">
        <v>6</v>
      </c>
      <c r="G1" s="4" t="s">
        <v>7</v>
      </c>
      <c r="H1" s="1" t="s">
        <v>1</v>
      </c>
      <c r="I1" s="1" t="s">
        <v>59</v>
      </c>
      <c r="J1" s="1" t="s">
        <v>8</v>
      </c>
    </row>
    <row r="2" spans="1:10">
      <c r="A2" s="1" t="s">
        <v>10</v>
      </c>
      <c r="B2" s="1">
        <v>1</v>
      </c>
      <c r="C2" s="18">
        <v>45871</v>
      </c>
      <c r="D2" s="9">
        <f>Sheet1!C2</f>
        <v>50000</v>
      </c>
      <c r="E2" s="7">
        <f>Sheet1!C2/Sheet1!G2</f>
        <v>16666.666666666668</v>
      </c>
      <c r="F2">
        <f>Sheet1!C2*Sheet1!I2</f>
        <v>2000</v>
      </c>
      <c r="G2">
        <f>Sheet1!E2</f>
        <v>1000</v>
      </c>
      <c r="H2" s="14">
        <f>E2+F2</f>
        <v>18666.666666666668</v>
      </c>
      <c r="I2" s="14">
        <f>E2+F2+G2</f>
        <v>19666.666666666668</v>
      </c>
      <c r="J2" s="14">
        <f>D2-E2</f>
        <v>33333.333333333328</v>
      </c>
    </row>
    <row r="3" spans="1:10">
      <c r="A3" s="1" t="s">
        <v>10</v>
      </c>
      <c r="B3" s="1">
        <v>2</v>
      </c>
      <c r="C3" s="18">
        <v>45902</v>
      </c>
      <c r="D3" s="9">
        <f>J2</f>
        <v>33333.333333333328</v>
      </c>
      <c r="E3" s="7">
        <f>E2</f>
        <v>16666.666666666668</v>
      </c>
      <c r="F3">
        <f>F2</f>
        <v>2000</v>
      </c>
      <c r="G3">
        <v>0</v>
      </c>
      <c r="H3" s="14">
        <f>E3+F3</f>
        <v>18666.666666666668</v>
      </c>
      <c r="I3" s="14">
        <f>E3+F3</f>
        <v>18666.666666666668</v>
      </c>
      <c r="J3" s="14">
        <f t="shared" ref="J3:J4" si="0">D3-E3</f>
        <v>16666.666666666661</v>
      </c>
    </row>
    <row r="4" spans="1:10">
      <c r="A4" s="1" t="s">
        <v>10</v>
      </c>
      <c r="B4" s="1">
        <v>3</v>
      </c>
      <c r="C4" s="18">
        <v>45932</v>
      </c>
      <c r="D4" s="7">
        <f>D3-E3</f>
        <v>16666.666666666661</v>
      </c>
      <c r="E4" s="7">
        <f>E2</f>
        <v>16666.666666666668</v>
      </c>
      <c r="F4">
        <f>F2</f>
        <v>2000</v>
      </c>
      <c r="G4">
        <v>0</v>
      </c>
      <c r="H4" s="14">
        <f>E4+F4</f>
        <v>18666.666666666668</v>
      </c>
      <c r="I4" s="14">
        <f>E4+F4</f>
        <v>18666.666666666668</v>
      </c>
      <c r="J4" s="14">
        <f t="shared" si="0"/>
        <v>0</v>
      </c>
    </row>
    <row r="5" spans="1:10">
      <c r="A5" s="1" t="s">
        <v>11</v>
      </c>
      <c r="B5" s="1">
        <v>1</v>
      </c>
      <c r="C5" s="18">
        <v>45903</v>
      </c>
      <c r="D5" s="7">
        <f>Sheet1!C3</f>
        <v>70000</v>
      </c>
      <c r="E5" s="7">
        <f>Sheet1!C3/Sheet1!G3</f>
        <v>23333.333333333332</v>
      </c>
      <c r="F5">
        <f>Sheet1!C3*Sheet1!I3</f>
        <v>2800</v>
      </c>
      <c r="G5">
        <f>Sheet1!E3</f>
        <v>2000</v>
      </c>
      <c r="H5" s="14">
        <f>E5+F5</f>
        <v>26133.333333333332</v>
      </c>
      <c r="I5" s="14">
        <f>E5+F5+G5</f>
        <v>28133.333333333332</v>
      </c>
      <c r="J5" s="14">
        <f>D5-E5</f>
        <v>46666.666666666672</v>
      </c>
    </row>
    <row r="6" spans="1:10">
      <c r="A6" s="1" t="s">
        <v>11</v>
      </c>
      <c r="B6" s="1">
        <v>2</v>
      </c>
      <c r="C6" s="18">
        <v>45933</v>
      </c>
      <c r="D6" s="7">
        <f>J5</f>
        <v>46666.666666666672</v>
      </c>
      <c r="E6" s="7">
        <f>E5</f>
        <v>23333.333333333332</v>
      </c>
      <c r="F6">
        <f>F5</f>
        <v>2800</v>
      </c>
      <c r="G6">
        <v>0</v>
      </c>
      <c r="H6" s="14">
        <f t="shared" ref="H6:H7" si="1">E6+F6</f>
        <v>26133.333333333332</v>
      </c>
      <c r="I6" s="14">
        <f>H6+F6</f>
        <v>28933.333333333332</v>
      </c>
      <c r="J6" s="14">
        <f t="shared" ref="J6:J7" si="2">D6-E6</f>
        <v>23333.333333333339</v>
      </c>
    </row>
    <row r="7" spans="1:10">
      <c r="A7" s="1" t="s">
        <v>11</v>
      </c>
      <c r="B7" s="1">
        <v>3</v>
      </c>
      <c r="C7" s="18">
        <v>45964</v>
      </c>
      <c r="D7" s="7">
        <f>J5-E7</f>
        <v>23333.333333333339</v>
      </c>
      <c r="E7" s="7">
        <f>E6</f>
        <v>23333.333333333332</v>
      </c>
      <c r="F7">
        <f>F6</f>
        <v>2800</v>
      </c>
      <c r="G7">
        <v>0</v>
      </c>
      <c r="H7" s="14">
        <f t="shared" si="1"/>
        <v>26133.333333333332</v>
      </c>
      <c r="I7" s="14">
        <f>H7+F7</f>
        <v>28933.333333333332</v>
      </c>
      <c r="J7" s="14">
        <f t="shared" si="2"/>
        <v>0</v>
      </c>
    </row>
    <row r="8" spans="1:10">
      <c r="A8" s="19" t="s">
        <v>12</v>
      </c>
      <c r="B8" s="19">
        <v>1</v>
      </c>
      <c r="C8" s="18">
        <v>45873</v>
      </c>
      <c r="D8" s="7">
        <f>Sheet1!C4</f>
        <v>90000</v>
      </c>
      <c r="E8" s="7">
        <f>Sheet1!C4/Sheet1!G4</f>
        <v>30000</v>
      </c>
      <c r="F8">
        <f>Sheet1!C4*Sheet1!I4</f>
        <v>3600</v>
      </c>
      <c r="G8">
        <f>Sheet1!E4</f>
        <v>2000</v>
      </c>
      <c r="H8" s="14">
        <f>E8+F8</f>
        <v>33600</v>
      </c>
      <c r="I8" s="14">
        <f>E8+F8+G8</f>
        <v>35600</v>
      </c>
      <c r="J8" s="14">
        <f>D8-E8</f>
        <v>60000</v>
      </c>
    </row>
    <row r="9" spans="1:10">
      <c r="A9" s="19" t="s">
        <v>12</v>
      </c>
      <c r="B9" s="19">
        <v>2</v>
      </c>
      <c r="C9" s="18">
        <v>45904</v>
      </c>
      <c r="D9" s="7">
        <f>J8</f>
        <v>60000</v>
      </c>
      <c r="E9" s="7">
        <f>E8</f>
        <v>30000</v>
      </c>
      <c r="F9">
        <f>F8</f>
        <v>3600</v>
      </c>
      <c r="G9">
        <v>0</v>
      </c>
      <c r="H9" s="14">
        <f>E9+F9</f>
        <v>33600</v>
      </c>
      <c r="I9" s="14">
        <f>E9+F9</f>
        <v>33600</v>
      </c>
      <c r="J9" s="14">
        <f>J8-E9</f>
        <v>30000</v>
      </c>
    </row>
    <row r="10" spans="1:10">
      <c r="A10" s="19" t="s">
        <v>12</v>
      </c>
      <c r="B10" s="19">
        <v>3</v>
      </c>
      <c r="C10" s="18">
        <v>45934</v>
      </c>
      <c r="D10" s="7">
        <f>J9</f>
        <v>30000</v>
      </c>
      <c r="E10" s="7">
        <f>E9</f>
        <v>30000</v>
      </c>
      <c r="F10">
        <f>F9</f>
        <v>3600</v>
      </c>
      <c r="G10">
        <v>0</v>
      </c>
      <c r="H10" s="14">
        <f>E10+F10</f>
        <v>33600</v>
      </c>
      <c r="I10" s="14">
        <f>E10+F10</f>
        <v>33600</v>
      </c>
      <c r="J10" s="14">
        <f>J9-E10</f>
        <v>0</v>
      </c>
    </row>
    <row r="11" spans="1:10">
      <c r="A11" s="1" t="s">
        <v>13</v>
      </c>
      <c r="B11" s="1">
        <v>1</v>
      </c>
      <c r="C11" s="18">
        <v>45937</v>
      </c>
      <c r="D11" s="7">
        <f>Sheet1!C5</f>
        <v>110000</v>
      </c>
      <c r="E11" s="7">
        <f>Sheet1!C5/Sheet1!G4</f>
        <v>36666.666666666664</v>
      </c>
      <c r="F11">
        <v>4400</v>
      </c>
      <c r="G11">
        <f>Sheet1!E5</f>
        <v>3000</v>
      </c>
      <c r="H11" s="14">
        <f>E11+F11</f>
        <v>41066.666666666664</v>
      </c>
      <c r="I11" s="14">
        <f>E11+F11+G11</f>
        <v>44066.666666666664</v>
      </c>
      <c r="J11" s="14">
        <f t="shared" ref="J11:J17" si="3">D11-E11</f>
        <v>73333.333333333343</v>
      </c>
    </row>
    <row r="12" spans="1:10">
      <c r="A12" s="1" t="s">
        <v>13</v>
      </c>
      <c r="B12" s="1">
        <v>2</v>
      </c>
      <c r="C12" s="18">
        <v>45968</v>
      </c>
      <c r="D12" s="7">
        <f>J11</f>
        <v>73333.333333333343</v>
      </c>
      <c r="E12" s="7">
        <f>E11</f>
        <v>36666.666666666664</v>
      </c>
      <c r="F12">
        <v>4400</v>
      </c>
      <c r="G12">
        <v>0</v>
      </c>
      <c r="H12" s="14">
        <f>E12+F12</f>
        <v>41066.666666666664</v>
      </c>
      <c r="I12" s="14">
        <f>E12+F12</f>
        <v>41066.666666666664</v>
      </c>
      <c r="J12" s="14">
        <f t="shared" si="3"/>
        <v>36666.666666666679</v>
      </c>
    </row>
    <row r="13" spans="1:10">
      <c r="A13" s="1" t="s">
        <v>13</v>
      </c>
      <c r="B13" s="1">
        <v>3</v>
      </c>
      <c r="C13" s="18">
        <v>45998</v>
      </c>
      <c r="D13" s="9">
        <f>J11-E12</f>
        <v>36666.666666666679</v>
      </c>
      <c r="E13" s="7">
        <f>E12</f>
        <v>36666.666666666664</v>
      </c>
      <c r="F13">
        <v>4400</v>
      </c>
      <c r="G13">
        <v>0</v>
      </c>
      <c r="H13" s="14">
        <f>E13+F12</f>
        <v>41066.666666666664</v>
      </c>
      <c r="I13" s="14">
        <f>E13+F13</f>
        <v>41066.666666666664</v>
      </c>
      <c r="J13" s="14">
        <f t="shared" si="3"/>
        <v>0</v>
      </c>
    </row>
    <row r="14" spans="1:10">
      <c r="A14" s="1" t="s">
        <v>14</v>
      </c>
      <c r="B14" s="1">
        <v>1</v>
      </c>
      <c r="C14" s="18">
        <v>45969</v>
      </c>
      <c r="D14" s="9">
        <f>Sheet1!C6</f>
        <v>130000</v>
      </c>
      <c r="E14" s="7">
        <f>Sheet1!C6/Sheet1!G5</f>
        <v>43333.333333333336</v>
      </c>
      <c r="F14">
        <f>Sheet1!C6*Sheet1!I6</f>
        <v>5200</v>
      </c>
      <c r="G14">
        <f>Sheet1!E6</f>
        <v>3000</v>
      </c>
      <c r="H14" s="14">
        <f>E14+F14</f>
        <v>48533.333333333336</v>
      </c>
      <c r="I14" s="14">
        <f>E14+F14+G14</f>
        <v>51533.333333333336</v>
      </c>
      <c r="J14" s="14">
        <f t="shared" si="3"/>
        <v>86666.666666666657</v>
      </c>
    </row>
    <row r="15" spans="1:10">
      <c r="A15" s="1" t="s">
        <v>14</v>
      </c>
      <c r="B15" s="1">
        <v>2</v>
      </c>
      <c r="C15" s="18">
        <v>45999</v>
      </c>
      <c r="D15" s="9">
        <f>J14</f>
        <v>86666.666666666657</v>
      </c>
      <c r="E15" s="7">
        <f>E14</f>
        <v>43333.333333333336</v>
      </c>
      <c r="F15">
        <f>F14</f>
        <v>5200</v>
      </c>
      <c r="G15">
        <v>0</v>
      </c>
      <c r="H15" s="14">
        <f>E15+F15</f>
        <v>48533.333333333336</v>
      </c>
      <c r="I15" s="14">
        <f>E15+F15</f>
        <v>48533.333333333336</v>
      </c>
      <c r="J15" s="14">
        <f t="shared" si="3"/>
        <v>43333.333333333321</v>
      </c>
    </row>
    <row r="16" spans="1:10">
      <c r="A16" s="1" t="s">
        <v>14</v>
      </c>
      <c r="B16" s="1">
        <v>3</v>
      </c>
      <c r="C16" s="18">
        <v>46030</v>
      </c>
      <c r="D16" s="9">
        <f>J15</f>
        <v>43333.333333333321</v>
      </c>
      <c r="E16" s="7">
        <f>E15</f>
        <v>43333.333333333336</v>
      </c>
      <c r="F16">
        <f>F15</f>
        <v>5200</v>
      </c>
      <c r="G16">
        <v>0</v>
      </c>
      <c r="H16" s="14">
        <f>E16+F16</f>
        <v>48533.333333333336</v>
      </c>
      <c r="I16" s="14">
        <f>E16+F16</f>
        <v>48533.333333333336</v>
      </c>
      <c r="J16" s="14">
        <f t="shared" si="3"/>
        <v>0</v>
      </c>
    </row>
    <row r="17" spans="1:11">
      <c r="A17" s="20" t="s">
        <v>15</v>
      </c>
      <c r="B17" s="20">
        <v>1</v>
      </c>
      <c r="C17" s="21">
        <v>45878</v>
      </c>
      <c r="D17" s="22">
        <f>Sheet1!C7</f>
        <v>150000</v>
      </c>
      <c r="E17" s="23">
        <f>Sheet1!C7/Sheet1!G7</f>
        <v>25000</v>
      </c>
      <c r="F17" s="24">
        <f>Sheet1!C7*Sheet1!I7</f>
        <v>6000</v>
      </c>
      <c r="G17" s="24">
        <f>Sheet1!E7</f>
        <v>5000</v>
      </c>
      <c r="H17" s="25">
        <f>D17/Sheet1!G7</f>
        <v>25000</v>
      </c>
      <c r="I17" s="25">
        <f>E17+G17+F17</f>
        <v>36000</v>
      </c>
      <c r="J17" s="25">
        <f t="shared" si="3"/>
        <v>125000</v>
      </c>
    </row>
    <row r="18" spans="1:11">
      <c r="A18" s="20" t="s">
        <v>15</v>
      </c>
      <c r="B18" s="20">
        <v>2</v>
      </c>
      <c r="C18" s="21">
        <v>45909</v>
      </c>
      <c r="D18" s="22">
        <f>J17</f>
        <v>125000</v>
      </c>
      <c r="E18" s="23">
        <f>E17</f>
        <v>25000</v>
      </c>
      <c r="F18" s="24">
        <f>F17</f>
        <v>6000</v>
      </c>
      <c r="G18" s="24">
        <v>0</v>
      </c>
      <c r="H18" s="25">
        <f>H17</f>
        <v>25000</v>
      </c>
      <c r="I18" s="25">
        <f>E18+F18</f>
        <v>31000</v>
      </c>
      <c r="J18" s="25">
        <f>D18-H18</f>
        <v>100000</v>
      </c>
    </row>
    <row r="19" spans="1:11">
      <c r="A19" s="20" t="s">
        <v>15</v>
      </c>
      <c r="B19" s="20">
        <v>3</v>
      </c>
      <c r="C19" s="21">
        <v>45939</v>
      </c>
      <c r="D19" s="22">
        <f>D18-H18</f>
        <v>100000</v>
      </c>
      <c r="E19" s="23">
        <f t="shared" ref="E19:E22" si="4">E18</f>
        <v>25000</v>
      </c>
      <c r="F19" s="24">
        <f t="shared" ref="F19:F22" si="5">F18</f>
        <v>6000</v>
      </c>
      <c r="G19" s="24">
        <v>0</v>
      </c>
      <c r="H19" s="25">
        <f t="shared" ref="H19:H22" si="6">H18</f>
        <v>25000</v>
      </c>
      <c r="I19" s="25">
        <f t="shared" ref="I19:I25" si="7">E19+F19</f>
        <v>31000</v>
      </c>
      <c r="J19" s="25">
        <f t="shared" ref="J19:J25" si="8">D19-H19</f>
        <v>75000</v>
      </c>
    </row>
    <row r="20" spans="1:11">
      <c r="A20" s="20" t="s">
        <v>15</v>
      </c>
      <c r="B20" s="20">
        <v>4</v>
      </c>
      <c r="C20" s="21">
        <v>45970</v>
      </c>
      <c r="D20" s="22">
        <f t="shared" ref="D20:D22" si="9">D19-H19</f>
        <v>75000</v>
      </c>
      <c r="E20" s="23">
        <f t="shared" si="4"/>
        <v>25000</v>
      </c>
      <c r="F20" s="24">
        <f t="shared" si="5"/>
        <v>6000</v>
      </c>
      <c r="G20" s="24">
        <v>0</v>
      </c>
      <c r="H20" s="25">
        <f t="shared" si="6"/>
        <v>25000</v>
      </c>
      <c r="I20" s="25">
        <f t="shared" si="7"/>
        <v>31000</v>
      </c>
      <c r="J20" s="25">
        <f t="shared" si="8"/>
        <v>50000</v>
      </c>
      <c r="K20" s="14">
        <f>SUM(I17:I22)</f>
        <v>191000</v>
      </c>
    </row>
    <row r="21" spans="1:11">
      <c r="A21" s="20" t="s">
        <v>15</v>
      </c>
      <c r="B21" s="20">
        <v>5</v>
      </c>
      <c r="C21" s="21">
        <v>46000</v>
      </c>
      <c r="D21" s="22">
        <f t="shared" si="9"/>
        <v>50000</v>
      </c>
      <c r="E21" s="23">
        <f t="shared" si="4"/>
        <v>25000</v>
      </c>
      <c r="F21" s="24">
        <f t="shared" si="5"/>
        <v>6000</v>
      </c>
      <c r="G21" s="24">
        <v>0</v>
      </c>
      <c r="H21" s="25">
        <f t="shared" si="6"/>
        <v>25000</v>
      </c>
      <c r="I21" s="25">
        <f t="shared" si="7"/>
        <v>31000</v>
      </c>
      <c r="J21" s="25">
        <f t="shared" si="8"/>
        <v>25000</v>
      </c>
    </row>
    <row r="22" spans="1:11">
      <c r="A22" s="20" t="s">
        <v>15</v>
      </c>
      <c r="B22" s="20">
        <v>6</v>
      </c>
      <c r="C22" s="21">
        <v>46031</v>
      </c>
      <c r="D22" s="22">
        <f t="shared" si="9"/>
        <v>25000</v>
      </c>
      <c r="E22" s="23">
        <f t="shared" si="4"/>
        <v>25000</v>
      </c>
      <c r="F22" s="24">
        <f t="shared" si="5"/>
        <v>6000</v>
      </c>
      <c r="G22" s="24">
        <v>0</v>
      </c>
      <c r="H22" s="25">
        <f t="shared" si="6"/>
        <v>25000</v>
      </c>
      <c r="I22" s="25">
        <f t="shared" si="7"/>
        <v>31000</v>
      </c>
      <c r="J22" s="25">
        <f t="shared" si="8"/>
        <v>0</v>
      </c>
    </row>
    <row r="23" spans="1:11">
      <c r="A23" s="19" t="s">
        <v>16</v>
      </c>
      <c r="B23" s="19">
        <v>1</v>
      </c>
      <c r="C23" s="26">
        <v>45879</v>
      </c>
      <c r="D23" s="27">
        <f>Sheet1!C8</f>
        <v>170000</v>
      </c>
      <c r="E23" s="28">
        <f>Sheet1!C8/Sheet1!G8</f>
        <v>56666.666666666664</v>
      </c>
      <c r="F23" s="29">
        <f>Sheet1!C8*Sheet1!I8</f>
        <v>6800</v>
      </c>
      <c r="G23" s="29">
        <f>Sheet1!E8</f>
        <v>2500</v>
      </c>
      <c r="H23" s="30">
        <f>Sheet1!C8/Sheet1!G8</f>
        <v>56666.666666666664</v>
      </c>
      <c r="I23" s="30">
        <f>H23+F23+G23</f>
        <v>65966.666666666657</v>
      </c>
      <c r="J23" s="30">
        <f t="shared" si="8"/>
        <v>113333.33333333334</v>
      </c>
    </row>
    <row r="24" spans="1:11">
      <c r="A24" s="1" t="s">
        <v>16</v>
      </c>
      <c r="B24" s="1">
        <v>2</v>
      </c>
      <c r="C24" s="18">
        <v>45910</v>
      </c>
      <c r="D24" s="9">
        <f>J23</f>
        <v>113333.33333333334</v>
      </c>
      <c r="E24" s="28">
        <f>E23</f>
        <v>56666.666666666664</v>
      </c>
      <c r="F24" s="29">
        <f>F23</f>
        <v>6800</v>
      </c>
      <c r="G24" s="29">
        <v>0</v>
      </c>
      <c r="H24" s="30">
        <f>H23</f>
        <v>56666.666666666664</v>
      </c>
      <c r="I24" s="30">
        <f t="shared" si="7"/>
        <v>63466.666666666664</v>
      </c>
      <c r="J24" s="30">
        <f t="shared" si="8"/>
        <v>56666.666666666679</v>
      </c>
    </row>
    <row r="25" spans="1:11">
      <c r="A25" s="1" t="s">
        <v>16</v>
      </c>
      <c r="B25" s="1">
        <v>3</v>
      </c>
      <c r="C25" s="18">
        <v>45940</v>
      </c>
      <c r="D25" s="9">
        <f>J24</f>
        <v>56666.666666666679</v>
      </c>
      <c r="E25" s="28">
        <f>E24</f>
        <v>56666.666666666664</v>
      </c>
      <c r="F25" s="29">
        <f>F24</f>
        <v>6800</v>
      </c>
      <c r="G25" s="29">
        <v>0</v>
      </c>
      <c r="H25" s="30">
        <f>H24</f>
        <v>56666.666666666664</v>
      </c>
      <c r="I25" s="30">
        <f t="shared" si="7"/>
        <v>63466.666666666664</v>
      </c>
      <c r="J25" s="30">
        <f t="shared" si="8"/>
        <v>0</v>
      </c>
    </row>
    <row r="26" spans="1:11">
      <c r="A26" s="1" t="s">
        <v>17</v>
      </c>
      <c r="B26" s="1">
        <v>1</v>
      </c>
      <c r="C26" s="18">
        <v>45880</v>
      </c>
      <c r="D26" s="9">
        <f>Sheet1!C9</f>
        <v>60000</v>
      </c>
      <c r="E26" s="28">
        <f>Sheet1!C9/Sheet1!G9</f>
        <v>20000</v>
      </c>
      <c r="F26" s="29">
        <f>Sheet1!C9*Sheet1!I9</f>
        <v>2400</v>
      </c>
      <c r="G26" s="29">
        <f>Sheet1!E9</f>
        <v>1000</v>
      </c>
      <c r="H26" s="30">
        <f>E26+F26</f>
        <v>22400</v>
      </c>
      <c r="I26" s="30">
        <f>F26+E26+G26</f>
        <v>23400</v>
      </c>
      <c r="J26" s="30">
        <f>D26-H26</f>
        <v>37600</v>
      </c>
    </row>
    <row r="27" spans="1:11">
      <c r="A27" s="1" t="s">
        <v>17</v>
      </c>
      <c r="B27" s="1">
        <v>2</v>
      </c>
      <c r="C27" s="18">
        <v>45911</v>
      </c>
      <c r="D27" s="9">
        <f>J26</f>
        <v>37600</v>
      </c>
      <c r="E27" s="7">
        <f>E26</f>
        <v>20000</v>
      </c>
      <c r="F27">
        <v>2400</v>
      </c>
      <c r="G27" s="29">
        <v>0</v>
      </c>
      <c r="H27" s="14">
        <f>H26</f>
        <v>22400</v>
      </c>
      <c r="I27" s="14">
        <f>E27+F27</f>
        <v>22400</v>
      </c>
      <c r="J27" s="14">
        <f>D27-H27</f>
        <v>15200</v>
      </c>
    </row>
    <row r="28" spans="1:11">
      <c r="A28" s="1" t="s">
        <v>17</v>
      </c>
      <c r="B28" s="1">
        <v>3</v>
      </c>
      <c r="C28" s="18">
        <v>45941</v>
      </c>
      <c r="D28" s="9">
        <f>J27</f>
        <v>15200</v>
      </c>
      <c r="E28" s="7">
        <f>E27</f>
        <v>20000</v>
      </c>
      <c r="F28">
        <v>2400</v>
      </c>
      <c r="G28" s="29">
        <v>0</v>
      </c>
      <c r="H28" s="14">
        <f>H27</f>
        <v>22400</v>
      </c>
      <c r="I28" s="14">
        <f>E28+F28</f>
        <v>22400</v>
      </c>
      <c r="J28" s="14">
        <f>D28-H28</f>
        <v>-7200</v>
      </c>
    </row>
    <row r="29" spans="1:11">
      <c r="A29" s="1" t="s">
        <v>18</v>
      </c>
      <c r="B29" s="1">
        <v>1</v>
      </c>
      <c r="C29" s="18">
        <v>45881</v>
      </c>
      <c r="D29" s="9">
        <f>Sheet1!C10</f>
        <v>80000</v>
      </c>
      <c r="E29" s="7">
        <f>Sheet1!C10/Sheet1!G10</f>
        <v>26666.666666666668</v>
      </c>
      <c r="F29">
        <f>Sheet1!C10*Sheet1!I10</f>
        <v>3200</v>
      </c>
      <c r="G29">
        <f>Sheet1!E9</f>
        <v>1000</v>
      </c>
      <c r="H29" s="14">
        <f>E29+F29</f>
        <v>29866.666666666668</v>
      </c>
      <c r="I29" s="14">
        <f>E29+F29+G29</f>
        <v>30866.666666666668</v>
      </c>
      <c r="J29" s="14">
        <f>D29-H29</f>
        <v>50133.333333333328</v>
      </c>
    </row>
    <row r="30" spans="1:11">
      <c r="A30" s="1" t="s">
        <v>18</v>
      </c>
      <c r="B30" s="1">
        <v>2</v>
      </c>
      <c r="C30" s="18">
        <v>45912</v>
      </c>
      <c r="D30" s="9">
        <f>J29</f>
        <v>50133.333333333328</v>
      </c>
      <c r="E30" s="7">
        <f>E29</f>
        <v>26666.666666666668</v>
      </c>
      <c r="F30">
        <f>F29</f>
        <v>3200</v>
      </c>
      <c r="G30">
        <v>0</v>
      </c>
      <c r="H30" s="14">
        <f>H29</f>
        <v>29866.666666666668</v>
      </c>
      <c r="I30" s="14">
        <f>E30+F30</f>
        <v>29866.666666666668</v>
      </c>
      <c r="J30" s="14">
        <f t="shared" ref="J30:J34" si="10">D30-H30</f>
        <v>20266.666666666661</v>
      </c>
    </row>
    <row r="31" spans="1:11">
      <c r="A31" s="1" t="s">
        <v>18</v>
      </c>
      <c r="B31" s="1">
        <v>3</v>
      </c>
      <c r="C31" s="18">
        <v>45942</v>
      </c>
      <c r="D31" s="9">
        <f>D30-E30</f>
        <v>23466.666666666661</v>
      </c>
      <c r="E31" s="7">
        <f>E30</f>
        <v>26666.666666666668</v>
      </c>
      <c r="F31">
        <f>F30</f>
        <v>3200</v>
      </c>
      <c r="G31">
        <v>0</v>
      </c>
      <c r="H31" s="14">
        <f>H30</f>
        <v>29866.666666666668</v>
      </c>
      <c r="I31" s="14">
        <f>E31+F31</f>
        <v>29866.666666666668</v>
      </c>
      <c r="J31" s="14">
        <f t="shared" si="10"/>
        <v>-6400.0000000000073</v>
      </c>
    </row>
    <row r="32" spans="1:11">
      <c r="A32" s="1" t="s">
        <v>19</v>
      </c>
      <c r="B32" s="1">
        <v>1</v>
      </c>
      <c r="C32" s="18">
        <v>45882</v>
      </c>
      <c r="D32" s="9">
        <f>Sheet1!C11</f>
        <v>100000</v>
      </c>
      <c r="E32" s="7">
        <f>Sheet1!C11/Sheet1!G11</f>
        <v>33333.333333333336</v>
      </c>
      <c r="F32">
        <f>Sheet1!C11*Sheet1!I11</f>
        <v>4000</v>
      </c>
      <c r="G32">
        <f>Sheet1!E11</f>
        <v>3000</v>
      </c>
      <c r="H32" s="14">
        <f>E32+F32</f>
        <v>37333.333333333336</v>
      </c>
      <c r="I32" s="14">
        <f>E32+F32+G32</f>
        <v>40333.333333333336</v>
      </c>
      <c r="J32" s="14">
        <f t="shared" si="10"/>
        <v>62666.666666666664</v>
      </c>
    </row>
    <row r="33" spans="1:10">
      <c r="A33" s="1" t="s">
        <v>19</v>
      </c>
      <c r="B33" s="1">
        <v>2</v>
      </c>
      <c r="C33" s="18">
        <v>45913</v>
      </c>
      <c r="D33" s="9">
        <f>J32</f>
        <v>62666.666666666664</v>
      </c>
      <c r="E33" s="7">
        <f>E32</f>
        <v>33333.333333333336</v>
      </c>
      <c r="F33">
        <f>F32</f>
        <v>4000</v>
      </c>
      <c r="G33">
        <v>0</v>
      </c>
      <c r="H33" s="14">
        <f>H32</f>
        <v>37333.333333333336</v>
      </c>
      <c r="I33" s="14">
        <f>I32-G32</f>
        <v>37333.333333333336</v>
      </c>
      <c r="J33" s="14">
        <f t="shared" si="10"/>
        <v>25333.333333333328</v>
      </c>
    </row>
    <row r="34" spans="1:10">
      <c r="A34" s="1" t="s">
        <v>19</v>
      </c>
      <c r="B34" s="1">
        <v>3</v>
      </c>
      <c r="C34" s="18">
        <v>45943</v>
      </c>
      <c r="D34" s="9">
        <f>J33</f>
        <v>25333.333333333328</v>
      </c>
      <c r="E34" s="7">
        <f>E33</f>
        <v>33333.333333333336</v>
      </c>
      <c r="F34">
        <f>F33</f>
        <v>4000</v>
      </c>
      <c r="G34">
        <v>0</v>
      </c>
      <c r="H34" s="14">
        <f>H33</f>
        <v>37333.333333333336</v>
      </c>
      <c r="I34" s="14">
        <f>I33</f>
        <v>37333.333333333336</v>
      </c>
      <c r="J34" s="14">
        <f t="shared" si="10"/>
        <v>-12000.000000000007</v>
      </c>
    </row>
    <row r="35" spans="1:10">
      <c r="A35" s="1" t="s">
        <v>20</v>
      </c>
      <c r="B35" s="1">
        <v>1</v>
      </c>
      <c r="C35" s="18">
        <v>45883</v>
      </c>
    </row>
    <row r="36" spans="1:10">
      <c r="A36" s="1" t="s">
        <v>20</v>
      </c>
      <c r="B36" s="1">
        <v>2</v>
      </c>
      <c r="C36" s="18">
        <v>45914</v>
      </c>
    </row>
    <row r="37" spans="1:10">
      <c r="A37" s="1" t="s">
        <v>64</v>
      </c>
      <c r="B37" s="1">
        <v>3</v>
      </c>
      <c r="C37" s="18">
        <v>45944</v>
      </c>
    </row>
    <row r="38" spans="1:10">
      <c r="A38" s="1" t="s">
        <v>21</v>
      </c>
      <c r="B38" s="1">
        <v>1</v>
      </c>
      <c r="C38" s="18">
        <v>45884</v>
      </c>
    </row>
    <row r="39" spans="1:10">
      <c r="A39" s="1" t="s">
        <v>21</v>
      </c>
      <c r="B39" s="1">
        <v>2</v>
      </c>
      <c r="C39" s="18">
        <v>45915</v>
      </c>
    </row>
    <row r="40" spans="1:10">
      <c r="A40" s="1" t="s">
        <v>21</v>
      </c>
      <c r="B40" s="1">
        <v>3</v>
      </c>
      <c r="C40" s="18">
        <v>45945</v>
      </c>
    </row>
    <row r="41" spans="1:10">
      <c r="A41" s="1" t="s">
        <v>22</v>
      </c>
      <c r="B41" s="1">
        <v>1</v>
      </c>
      <c r="C41" s="18">
        <v>45885</v>
      </c>
    </row>
    <row r="42" spans="1:10">
      <c r="A42" s="1" t="s">
        <v>22</v>
      </c>
      <c r="B42" s="1">
        <v>2</v>
      </c>
      <c r="C42" s="18">
        <v>45916</v>
      </c>
    </row>
    <row r="43" spans="1:10">
      <c r="A43" s="1" t="s">
        <v>22</v>
      </c>
      <c r="B43" s="1">
        <v>3</v>
      </c>
      <c r="C43" s="18">
        <v>45946</v>
      </c>
    </row>
    <row r="44" spans="1:10">
      <c r="A44" s="1" t="s">
        <v>23</v>
      </c>
      <c r="B44" s="1">
        <v>1</v>
      </c>
      <c r="C44" s="18">
        <v>45886</v>
      </c>
    </row>
    <row r="45" spans="1:10">
      <c r="A45" s="1" t="s">
        <v>23</v>
      </c>
      <c r="B45" s="1">
        <v>2</v>
      </c>
      <c r="C45" s="18">
        <v>45917</v>
      </c>
    </row>
    <row r="46" spans="1:10">
      <c r="A46" s="1" t="s">
        <v>23</v>
      </c>
      <c r="B46" s="1">
        <v>3</v>
      </c>
      <c r="C46" s="18">
        <v>45947</v>
      </c>
    </row>
    <row r="47" spans="1:10">
      <c r="A47" s="1" t="s">
        <v>24</v>
      </c>
      <c r="B47" s="1">
        <v>1</v>
      </c>
      <c r="C47" s="18">
        <v>45887</v>
      </c>
    </row>
    <row r="48" spans="1:10">
      <c r="A48" s="1" t="s">
        <v>24</v>
      </c>
      <c r="B48" s="1">
        <v>2</v>
      </c>
      <c r="C48" s="18">
        <v>45918</v>
      </c>
    </row>
    <row r="49" spans="1:3">
      <c r="A49" s="1" t="s">
        <v>24</v>
      </c>
      <c r="B49" s="1">
        <v>3</v>
      </c>
      <c r="C49" s="18">
        <v>45948</v>
      </c>
    </row>
    <row r="50" spans="1:3">
      <c r="A50" s="1" t="s">
        <v>25</v>
      </c>
      <c r="B50" s="1">
        <v>1</v>
      </c>
      <c r="C50" s="18">
        <v>45888</v>
      </c>
    </row>
    <row r="51" spans="1:3">
      <c r="A51" s="1" t="s">
        <v>25</v>
      </c>
      <c r="B51" s="1">
        <v>2</v>
      </c>
      <c r="C51" s="18">
        <v>45919</v>
      </c>
    </row>
    <row r="52" spans="1:3">
      <c r="A52" s="1" t="s">
        <v>65</v>
      </c>
      <c r="B52" s="1">
        <v>3</v>
      </c>
      <c r="C52" s="18">
        <v>45949</v>
      </c>
    </row>
    <row r="53" spans="1:3">
      <c r="A53" s="1" t="s">
        <v>26</v>
      </c>
      <c r="B53" s="1">
        <v>1</v>
      </c>
      <c r="C53" s="18">
        <v>45889</v>
      </c>
    </row>
    <row r="54" spans="1:3">
      <c r="A54" s="1" t="s">
        <v>26</v>
      </c>
      <c r="B54" s="1">
        <v>2</v>
      </c>
      <c r="C54" s="18">
        <v>45920</v>
      </c>
    </row>
    <row r="55" spans="1:3">
      <c r="A55" s="1" t="s">
        <v>26</v>
      </c>
      <c r="B55" s="1">
        <v>3</v>
      </c>
      <c r="C55" s="18">
        <v>45950</v>
      </c>
    </row>
    <row r="56" spans="1:3">
      <c r="A56" s="1" t="s">
        <v>27</v>
      </c>
      <c r="B56" s="1">
        <v>1</v>
      </c>
      <c r="C56" s="18">
        <v>45890</v>
      </c>
    </row>
    <row r="57" spans="1:3">
      <c r="A57" s="1" t="s">
        <v>27</v>
      </c>
      <c r="B57" s="1">
        <v>2</v>
      </c>
      <c r="C57" s="18">
        <v>45921</v>
      </c>
    </row>
    <row r="58" spans="1:3">
      <c r="A58" s="1" t="s">
        <v>27</v>
      </c>
      <c r="B58" s="1">
        <v>3</v>
      </c>
      <c r="C58" s="18">
        <v>45951</v>
      </c>
    </row>
    <row r="59" spans="1:3">
      <c r="A59" s="1" t="s">
        <v>28</v>
      </c>
      <c r="B59" s="1">
        <v>1</v>
      </c>
      <c r="C59" s="18">
        <v>45891</v>
      </c>
    </row>
    <row r="60" spans="1:3">
      <c r="A60" s="1" t="s">
        <v>28</v>
      </c>
      <c r="B60" s="1">
        <v>2</v>
      </c>
      <c r="C60" s="18">
        <v>45922</v>
      </c>
    </row>
    <row r="61" spans="1:3">
      <c r="A61" s="1" t="s">
        <v>28</v>
      </c>
      <c r="B61" s="1">
        <v>3</v>
      </c>
      <c r="C61" s="18">
        <v>45952</v>
      </c>
    </row>
    <row r="62" spans="1:3">
      <c r="A62" s="1" t="s">
        <v>29</v>
      </c>
      <c r="B62" s="1">
        <v>1</v>
      </c>
      <c r="C62" s="18">
        <v>45892</v>
      </c>
    </row>
    <row r="63" spans="1:3">
      <c r="A63" s="1" t="s">
        <v>29</v>
      </c>
      <c r="B63" s="1">
        <v>2</v>
      </c>
      <c r="C63" s="18">
        <v>45923</v>
      </c>
    </row>
    <row r="64" spans="1:3">
      <c r="A64" s="1" t="s">
        <v>29</v>
      </c>
      <c r="B64" s="1">
        <v>3</v>
      </c>
      <c r="C64" s="18">
        <v>45953</v>
      </c>
    </row>
    <row r="65" spans="1:3">
      <c r="A65" s="1"/>
    </row>
    <row r="66" spans="1:3">
      <c r="A66" s="1"/>
      <c r="B66" s="1"/>
      <c r="C66" s="18"/>
    </row>
    <row r="67" spans="1:3">
      <c r="A67" s="1"/>
      <c r="B67" s="1"/>
      <c r="C67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E22" sqref="E22"/>
    </sheetView>
  </sheetViews>
  <sheetFormatPr defaultColWidth="9" defaultRowHeight="14.5"/>
  <cols>
    <col min="1" max="1" width="10.90625" customWidth="1"/>
    <col min="2" max="2" width="8.54296875" customWidth="1"/>
    <col min="3" max="3" width="14.81640625" customWidth="1"/>
    <col min="7" max="7" width="15.7265625" customWidth="1"/>
    <col min="8" max="8" width="13.7265625" customWidth="1"/>
  </cols>
  <sheetData>
    <row r="1" spans="1:8">
      <c r="A1" s="1" t="s">
        <v>2</v>
      </c>
      <c r="B1" s="4" t="s">
        <v>3</v>
      </c>
      <c r="C1" s="1" t="s">
        <v>4</v>
      </c>
      <c r="D1" s="4" t="s">
        <v>5</v>
      </c>
      <c r="E1" s="4" t="s">
        <v>6</v>
      </c>
      <c r="F1" s="4" t="s">
        <v>7</v>
      </c>
      <c r="G1" s="1" t="s">
        <v>1</v>
      </c>
      <c r="H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D11" sqref="D11"/>
    </sheetView>
  </sheetViews>
  <sheetFormatPr defaultColWidth="9" defaultRowHeight="14.5"/>
  <cols>
    <col min="1" max="1" width="9.36328125" bestFit="1" customWidth="1"/>
    <col min="2" max="2" width="11.36328125" style="44" bestFit="1" customWidth="1"/>
    <col min="3" max="3" width="24.1796875" customWidth="1"/>
    <col min="4" max="4" width="12.1796875" style="15" bestFit="1" customWidth="1"/>
    <col min="5" max="5" width="9" style="44"/>
    <col min="6" max="6" width="23.08984375" bestFit="1" customWidth="1"/>
    <col min="7" max="7" width="28.08984375" bestFit="1" customWidth="1"/>
    <col min="8" max="8" width="23.7265625" style="15" bestFit="1" customWidth="1"/>
    <col min="12" max="12" width="24.1796875" customWidth="1"/>
    <col min="13" max="13" width="11.08984375" style="7" bestFit="1" customWidth="1"/>
  </cols>
  <sheetData>
    <row r="1" spans="1:13">
      <c r="A1" s="31" t="s">
        <v>66</v>
      </c>
      <c r="B1" s="45" t="s">
        <v>0</v>
      </c>
      <c r="C1" s="37" t="s">
        <v>74</v>
      </c>
      <c r="D1" s="37" t="s">
        <v>67</v>
      </c>
      <c r="E1" s="45" t="s">
        <v>7</v>
      </c>
      <c r="F1" s="37" t="s">
        <v>68</v>
      </c>
      <c r="G1" s="37" t="s">
        <v>69</v>
      </c>
      <c r="H1" s="37" t="s">
        <v>70</v>
      </c>
      <c r="M1"/>
    </row>
    <row r="2" spans="1:13">
      <c r="A2" s="32" t="s">
        <v>71</v>
      </c>
      <c r="B2" s="43">
        <v>50000</v>
      </c>
      <c r="C2" s="33">
        <v>3</v>
      </c>
      <c r="D2" s="34">
        <v>0.04</v>
      </c>
      <c r="E2" s="43">
        <v>1000</v>
      </c>
      <c r="F2" s="35">
        <f>B2+(B2*D2*C2)+E2</f>
        <v>57000</v>
      </c>
      <c r="G2" s="35">
        <f>(-PMT(D2,C2,B2))*C2+E2</f>
        <v>55052.280881599174</v>
      </c>
      <c r="H2" s="36">
        <f>F2-G2</f>
        <v>1947.7191184008261</v>
      </c>
      <c r="M2"/>
    </row>
    <row r="3" spans="1:13">
      <c r="A3" s="32" t="s">
        <v>72</v>
      </c>
      <c r="B3" s="43">
        <v>150000</v>
      </c>
      <c r="C3" s="33">
        <v>6</v>
      </c>
      <c r="D3" s="34">
        <v>0.04</v>
      </c>
      <c r="E3" s="43">
        <v>5000</v>
      </c>
      <c r="F3" s="35">
        <f>B3+(B3*D3*C3)+E3</f>
        <v>191000</v>
      </c>
      <c r="G3" s="35">
        <f>(-PMT(D3,C3,B3))*C3+E3</f>
        <v>176685.71225715862</v>
      </c>
      <c r="H3" s="36">
        <f>F3-G3</f>
        <v>14314.287742841378</v>
      </c>
      <c r="M3"/>
    </row>
    <row r="4" spans="1:13">
      <c r="A4" s="32" t="s">
        <v>73</v>
      </c>
      <c r="B4" s="43">
        <v>500000</v>
      </c>
      <c r="C4" s="33">
        <v>12</v>
      </c>
      <c r="D4" s="34">
        <v>0.04</v>
      </c>
      <c r="E4" s="46">
        <v>12500</v>
      </c>
      <c r="F4" s="35">
        <f>B4+(B4*D4*C4)+E4</f>
        <v>752500</v>
      </c>
      <c r="G4" s="35">
        <f>(-PMT(D4,C4,B4))*C4+E4</f>
        <v>651813.0361163395</v>
      </c>
      <c r="H4" s="36">
        <f>F4-G4</f>
        <v>100686.9638836605</v>
      </c>
      <c r="M4"/>
    </row>
    <row r="5" spans="1:13">
      <c r="D5"/>
      <c r="H5"/>
      <c r="M5"/>
    </row>
    <row r="6" spans="1:13">
      <c r="D6"/>
      <c r="H6"/>
      <c r="M6"/>
    </row>
    <row r="7" spans="1:13">
      <c r="D7"/>
      <c r="H7"/>
      <c r="M7"/>
    </row>
    <row r="8" spans="1:13">
      <c r="D8"/>
      <c r="H8"/>
      <c r="M8"/>
    </row>
    <row r="9" spans="1:13">
      <c r="D9"/>
      <c r="H9"/>
      <c r="M9"/>
    </row>
    <row r="10" spans="1:13">
      <c r="D10"/>
      <c r="H10"/>
      <c r="M10"/>
    </row>
    <row r="11" spans="1:13">
      <c r="D11"/>
      <c r="H11"/>
      <c r="M11"/>
    </row>
    <row r="12" spans="1:13">
      <c r="D12"/>
      <c r="H12"/>
      <c r="M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Flat Rate Balance</vt:lpstr>
      <vt:lpstr>Reducing Balance Schedule</vt:lpstr>
      <vt:lpstr>Scenario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C</dc:creator>
  <cp:lastModifiedBy>Editor C</cp:lastModifiedBy>
  <dcterms:created xsi:type="dcterms:W3CDTF">2026-08-21T01:42:00Z</dcterms:created>
  <dcterms:modified xsi:type="dcterms:W3CDTF">2026-09-16T10:02:01Z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51A0A612BC7E4DAA9BF6F140BB97B858_12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