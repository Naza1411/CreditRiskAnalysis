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3280" windowHeight="5040"/>
  </bookViews>
  <sheets>
    <sheet name="Input" sheetId="1" r:id="rId1"/>
    <sheet name="Flat Rate Balance" sheetId="5" r:id="rId2"/>
    <sheet name="Reducing Balance Schedule" sheetId="3" r:id="rId3"/>
    <sheet name="Scenario Compariso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<sst xmlns="http://schemas.openxmlformats.org/spreadsheetml/2006/main" count="78" uniqueCount="22">
  <si>
    <t>Principal (₦)</t>
  </si>
  <si>
    <t>Annual Interest Rate</t>
  </si>
  <si>
    <t xml:space="preserve"> Fee</t>
  </si>
  <si>
    <t>Disbursement Date</t>
  </si>
  <si>
    <t>Repayment Frequency</t>
  </si>
  <si>
    <t>Monthly</t>
  </si>
  <si>
    <t>Loan Term (Months)</t>
  </si>
  <si>
    <t>Monthly Interest Rate</t>
  </si>
  <si>
    <t>Monthly Interest</t>
  </si>
  <si>
    <t>Monthly payment</t>
  </si>
  <si>
    <t>Total Payment</t>
  </si>
  <si>
    <t>Principal+Total Interest+Fee</t>
  </si>
  <si>
    <t>Total Interest</t>
  </si>
  <si>
    <t>Payment No</t>
  </si>
  <si>
    <t>Due Date</t>
  </si>
  <si>
    <t>Opening Balance</t>
  </si>
  <si>
    <t>Principal</t>
  </si>
  <si>
    <t>Interest</t>
  </si>
  <si>
    <t>Fee</t>
  </si>
  <si>
    <t>Closing Balance</t>
  </si>
  <si>
    <t>Total Installment</t>
  </si>
  <si>
    <t>interest percent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</si>
</sst>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Alignment="1">
      <alignment vertical="center"/>
    </xf>
    <xf numFmtId="9" fontId="0" fillId="0" borderId="0" xfId="0" applyNumberFormat="1" applyAlignment="1">
      <alignment vertical="center"/>
    </xf>
    <xf numFmtId="15" fontId="0" fillId="0" borderId="0" xfId="0" applyNumberFormat="1" applyAlignment="1">
      <alignment vertical="center"/>
    </xf>
    <xf numFmtId="9" fontId="0" fillId="0" borderId="0" xfId="3" applyFont="1" applyAlignment="1"/>
    <xf numFmtId="0" fontId="0" fillId="0" borderId="0" xfId="0" applyAlignment="1"/>
    <xf numFmtId="0" fontId="0" fillId="0" borderId="0" xfId="0" applyAlignment="1">
      <alignment vertical="center" wrapText="1"/>
    </xf>
    <xf numFmtId="58" fontId="0" fillId="0" borderId="0" xfId="0" applyNumberFormat="1" applyAlignment="1">
      <alignment vertical="center" wrapText="1"/>
    </xf>
    <xf numFmtId="9" fontId="0" fillId="0" borderId="0" xfId="3" applyFont="1" applyAlignment="1">
      <alignment vertical="center" wrapText="1"/>
    </xf>
    <xf numFmtId="9" fontId="0" fillId="0" borderId="0" xfId="3" applyFont="1"/>
    <xf numFmtId="0" fontId="1" fillId="0" borderId="0" xfId="0" applyFon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13"/>
  <sheetViews>
    <sheetView tabSelected="1" topLeftCell="C1" workbookViewId="0">
      <selection activeCell="F7" sqref="F7"/>
    </sheetView>
  </sheetViews>
  <sheetFormatPr defaultColWidth="9" defaultRowHeight="14.5" outlineLevelCol="5"/>
  <cols>
    <col min="2" max="2" width="3.81818181818182" style="5" customWidth="1"/>
    <col min="3" max="3" width="20.5454545454545" style="5" customWidth="1"/>
    <col min="4" max="4" width="7.90909090909091" style="5" customWidth="1"/>
    <col min="9" max="9" width="10.9090909090909" customWidth="1"/>
    <col min="11" max="11" width="14.8181818181818" customWidth="1"/>
    <col min="15" max="15" width="14.4545454545455" customWidth="1"/>
    <col min="16" max="16" width="13.7272727272727" customWidth="1"/>
  </cols>
  <sheetData>
    <row r="1" spans="2:6">
      <c r="B1" s="10"/>
      <c r="C1" s="10"/>
      <c r="D1" s="10"/>
    </row>
    <row r="2" spans="2:6">
      <c r="B2" s="1"/>
      <c r="C2" s="1" t="s">
        <v>0</v>
      </c>
      <c r="D2" s="1">
        <v>50000</v>
      </c>
    </row>
    <row r="3" spans="2:6">
      <c r="B3" s="1"/>
      <c r="C3" s="1" t="s">
        <v>1</v>
      </c>
      <c r="D3" s="2">
        <v>0.24</v>
      </c>
    </row>
    <row r="4" spans="2:6">
      <c r="B4" s="1"/>
      <c r="C4" s="1" t="s">
        <v>2</v>
      </c>
      <c r="D4" s="1">
        <v>1000</v>
      </c>
    </row>
    <row r="5" spans="2:6">
      <c r="B5" s="1"/>
      <c r="C5" s="1" t="s">
        <v>3</v>
      </c>
      <c r="D5" s="3">
        <v>46023</v>
      </c>
    </row>
    <row r="6" spans="2:6">
      <c r="B6" s="1"/>
      <c r="C6" s="1" t="s">
        <v>4</v>
      </c>
      <c r="D6" s="1" t="s">
        <v>5</v>
      </c>
    </row>
    <row r="7" spans="2:6">
      <c r="B7" s="1"/>
      <c r="C7" s="1" t="s">
        <v>6</v>
      </c>
      <c r="D7" s="1">
        <v>3</v>
      </c>
      <c r="F7">
        <f>D2*D8</f>
        <v>1000</v>
      </c>
    </row>
    <row r="8" spans="2:6">
      <c r="C8" s="1" t="s">
        <v>7</v>
      </c>
      <c r="D8" s="4">
        <f>D3/12</f>
        <v>0.02</v>
      </c>
    </row>
    <row r="9" spans="2:6">
      <c r="C9" s="1" t="s">
        <v>8</v>
      </c>
      <c r="D9" s="5">
        <f>D2*D8</f>
        <v>1000</v>
      </c>
    </row>
    <row r="10" spans="2:6">
      <c r="C10" s="1" t="s">
        <v>9</v>
      </c>
      <c r="D10" s="5">
        <f>D2/D7+D9</f>
        <v>17666.6666666667</v>
      </c>
    </row>
    <row r="11" spans="2:6">
      <c r="C11" s="1" t="s">
        <v>10</v>
      </c>
      <c r="D11" s="5">
        <f>D10*D7</f>
        <v>53000</v>
      </c>
    </row>
    <row r="12" spans="2:6">
      <c r="C12" s="1" t="s">
        <v>11</v>
      </c>
      <c r="D12" s="5">
        <f>D2+D4+D13</f>
        <v>54000</v>
      </c>
    </row>
    <row r="13" spans="2:6">
      <c r="C13" s="1" t="s">
        <v>12</v>
      </c>
      <c r="D13" s="5">
        <f>D9*D7</f>
        <v>3000</v>
      </c>
    </row>
  </sheetData>
  <conditionalFormatting sqref="E2">
    <cfRule type="cellIs" dxfId="0" priority="1" operator="greaterThan">
      <formula>600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I14" sqref="I14"/>
    </sheetView>
  </sheetViews>
  <sheetFormatPr defaultColWidth="9" defaultRowHeight="14.5"/>
  <cols>
    <col min="1" max="1" width="8.09090909090909" style="5" customWidth="1"/>
    <col min="2" max="2" width="9.45454545454546" customWidth="1"/>
    <col min="3" max="3" width="14.8181818181818" style="5" customWidth="1"/>
    <col min="4" max="4" width="11.3636363636364" customWidth="1"/>
    <col min="7" max="7" width="15.7272727272727" customWidth="1"/>
    <col min="8" max="8" width="13.7272727272727" customWidth="1"/>
    <col min="11" max="11" width="14.0909090909091" customWidth="1"/>
  </cols>
  <sheetData>
    <row r="1" spans="1:12">
      <c r="A1" s="1" t="s">
        <v>13</v>
      </c>
      <c r="B1" s="6" t="s">
        <v>14</v>
      </c>
      <c r="C1" s="1" t="s">
        <v>15</v>
      </c>
      <c r="D1" s="6" t="s">
        <v>16</v>
      </c>
      <c r="E1" s="6" t="s">
        <v>17</v>
      </c>
      <c r="F1" s="6" t="s">
        <v>18</v>
      </c>
      <c r="G1" s="1" t="s">
        <v>9</v>
      </c>
      <c r="H1" s="1" t="s">
        <v>19</v>
      </c>
    </row>
    <row r="2" spans="1:12">
      <c r="A2" s="1">
        <v>1</v>
      </c>
      <c r="B2" s="7">
        <v>46116</v>
      </c>
      <c r="C2" s="1">
        <v>50000</v>
      </c>
      <c r="D2" s="6">
        <f>C2/3</f>
        <v>16666.6666666667</v>
      </c>
      <c r="E2" s="6">
        <v>1000</v>
      </c>
      <c r="F2" s="6">
        <v>1000</v>
      </c>
      <c r="G2" s="6">
        <f>C2/3+1000</f>
        <v>17666.6666666667</v>
      </c>
      <c r="H2" s="6">
        <f>C2-G2+E2</f>
        <v>33333.3333333333</v>
      </c>
      <c r="I2">
        <f>H2</f>
        <v>33333.3333333333</v>
      </c>
    </row>
    <row r="3" spans="1:12">
      <c r="A3" s="5">
        <v>2</v>
      </c>
      <c r="B3" s="7">
        <v>46117</v>
      </c>
      <c r="C3" s="5">
        <f>C2-G2+E3</f>
        <v>33333.3333333333</v>
      </c>
      <c r="D3">
        <f>C2/3</f>
        <v>16666.6666666667</v>
      </c>
      <c r="E3">
        <v>1000</v>
      </c>
      <c r="G3">
        <f>C2/3+1000</f>
        <v>17666.6666666667</v>
      </c>
      <c r="H3">
        <f>H2-G2+E3</f>
        <v>16666.6666666667</v>
      </c>
    </row>
    <row r="4" spans="1:12">
      <c r="A4" s="5">
        <v>3</v>
      </c>
      <c r="B4" s="7">
        <v>46118</v>
      </c>
      <c r="C4" s="5">
        <f>C3-G2+E4</f>
        <v>16666.6666666667</v>
      </c>
      <c r="D4">
        <f>C2/3</f>
        <v>16666.6666666667</v>
      </c>
      <c r="E4">
        <v>1000</v>
      </c>
      <c r="G4">
        <f>C2/3+1000</f>
        <v>17666.6666666667</v>
      </c>
      <c r="H4">
        <f>H3-C4</f>
        <v>0</v>
      </c>
    </row>
    <row r="5" spans="1:12">
      <c r="G5" t="s">
        <v>20</v>
      </c>
      <c r="H5">
        <f>G2*3</f>
        <v>53000</v>
      </c>
    </row>
    <row r="8" spans="1:12">
      <c r="A8" s="1" t="s">
        <v>13</v>
      </c>
      <c r="B8" s="6" t="s">
        <v>14</v>
      </c>
      <c r="C8" s="1" t="s">
        <v>15</v>
      </c>
      <c r="D8" s="6" t="s">
        <v>16</v>
      </c>
      <c r="E8" s="6" t="s">
        <v>17</v>
      </c>
      <c r="F8" s="6" t="s">
        <v>18</v>
      </c>
      <c r="G8" s="1" t="s">
        <v>9</v>
      </c>
      <c r="H8" s="1" t="s">
        <v>19</v>
      </c>
    </row>
    <row r="9" spans="1:12">
      <c r="A9" s="1">
        <v>1</v>
      </c>
      <c r="B9" s="7">
        <v>46148</v>
      </c>
      <c r="C9" s="1">
        <v>150000</v>
      </c>
      <c r="D9" s="6">
        <f>C9/6</f>
        <v>25000</v>
      </c>
      <c r="E9" s="8">
        <f>C9*L12</f>
        <v>3000</v>
      </c>
      <c r="F9" s="6">
        <v>3000</v>
      </c>
      <c r="G9" s="6">
        <f>C9/6+E9</f>
        <v>28000</v>
      </c>
      <c r="H9" s="6">
        <f>C9-G9</f>
        <v>122000</v>
      </c>
    </row>
    <row r="10" spans="1:12">
      <c r="A10" s="5">
        <v>2</v>
      </c>
      <c r="B10" s="7">
        <v>46149</v>
      </c>
      <c r="C10" s="5">
        <f>C9-G9</f>
        <v>122000</v>
      </c>
      <c r="E10">
        <f>C9*L12</f>
        <v>3000</v>
      </c>
      <c r="H10">
        <f>H9-G9+E10</f>
        <v>97000</v>
      </c>
      <c r="I10">
        <f>C9-G9</f>
        <v>122000</v>
      </c>
    </row>
    <row r="11" spans="1:12">
      <c r="A11" s="5">
        <v>3</v>
      </c>
      <c r="B11" s="7">
        <v>46150</v>
      </c>
      <c r="C11" s="5">
        <f>C10-G9+E10</f>
        <v>97000</v>
      </c>
      <c r="H11">
        <f>C11-G9</f>
        <v>69000</v>
      </c>
      <c r="I11">
        <f>H9-G9</f>
        <v>94000</v>
      </c>
    </row>
    <row r="12" spans="1:12">
      <c r="A12" s="5">
        <v>4</v>
      </c>
      <c r="B12" s="7">
        <v>46151</v>
      </c>
      <c r="C12" s="5">
        <f>C11-G9</f>
        <v>69000</v>
      </c>
      <c r="H12">
        <f>H11-G9</f>
        <v>41000</v>
      </c>
      <c r="I12">
        <f>I11-G9</f>
        <v>66000</v>
      </c>
      <c r="K12" t="s">
        <v>21</v>
      </c>
      <c r="L12" s="9">
        <f>24%/12</f>
        <v>0.02</v>
      </c>
    </row>
    <row r="13" spans="1:12">
      <c r="A13" s="5">
        <v>5</v>
      </c>
      <c r="B13" s="7">
        <v>46152</v>
      </c>
      <c r="C13" s="5">
        <f>C12-G9</f>
        <v>41000</v>
      </c>
      <c r="H13">
        <f>H12-G9</f>
        <v>13000</v>
      </c>
      <c r="I13">
        <f>I12-G9</f>
        <v>38000</v>
      </c>
    </row>
    <row r="14" spans="1:12">
      <c r="A14" s="5">
        <v>6</v>
      </c>
      <c r="B14" s="7">
        <v>46153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workbookViewId="0">
      <selection activeCell="A1" sqref="A1"/>
    </sheetView>
  </sheetViews>
  <sheetFormatPr defaultColWidth="9" defaultRowHeight="14.5" outlineLevelCol="7"/>
  <cols>
    <col min="1" max="1" width="10.9090909090909" customWidth="1"/>
    <col min="2" max="2" width="8.54545454545454" customWidth="1"/>
    <col min="3" max="3" width="14.8181818181818" customWidth="1"/>
    <col min="7" max="7" width="15.7272727272727" customWidth="1"/>
    <col min="8" max="8" width="13.7272727272727" customWidth="1"/>
  </cols>
  <sheetData>
    <row r="1" spans="1:8">
      <c r="A1" s="1" t="s">
        <v>13</v>
      </c>
      <c r="B1" s="6" t="s">
        <v>14</v>
      </c>
      <c r="C1" s="1" t="s">
        <v>15</v>
      </c>
      <c r="D1" s="6" t="s">
        <v>16</v>
      </c>
      <c r="E1" s="6" t="s">
        <v>17</v>
      </c>
      <c r="F1" s="6" t="s">
        <v>18</v>
      </c>
      <c r="G1" s="1" t="s">
        <v>9</v>
      </c>
      <c r="H1" s="1" t="s">
        <v>19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"/>
  <sheetViews>
    <sheetView workbookViewId="0">
      <selection activeCell="H5" sqref="H5"/>
    </sheetView>
  </sheetViews>
  <sheetFormatPr defaultColWidth="9" defaultRowHeight="14.5"/>
  <cols>
    <col min="3" max="3" width="24.1818181818182" customWidth="1"/>
    <col min="7" max="7" width="24.1818181818182" customWidth="1"/>
    <col min="12" max="12" width="24.1818181818182" customWidth="1"/>
  </cols>
  <sheetData>
    <row r="1" spans="3:13">
      <c r="C1" s="1" t="s">
        <v>16</v>
      </c>
      <c r="D1" s="1">
        <v>50000</v>
      </c>
      <c r="G1" s="1" t="s">
        <v>16</v>
      </c>
      <c r="H1" s="1">
        <v>150000</v>
      </c>
      <c r="L1" s="1" t="s">
        <v>16</v>
      </c>
      <c r="M1" s="1">
        <v>500000</v>
      </c>
    </row>
    <row r="2" spans="3:13">
      <c r="C2" s="1" t="s">
        <v>1</v>
      </c>
      <c r="D2" s="2">
        <v>0.24</v>
      </c>
      <c r="G2" s="1" t="s">
        <v>1</v>
      </c>
      <c r="H2" s="2">
        <v>0.24</v>
      </c>
      <c r="L2" s="1" t="s">
        <v>1</v>
      </c>
      <c r="M2" s="2">
        <v>0.24</v>
      </c>
    </row>
    <row r="3" spans="3:13">
      <c r="C3" s="1" t="s">
        <v>2</v>
      </c>
      <c r="D3" s="1">
        <v>1000</v>
      </c>
      <c r="G3" s="1" t="s">
        <v>2</v>
      </c>
      <c r="H3" s="1">
        <v>3000</v>
      </c>
      <c r="L3" s="1" t="s">
        <v>2</v>
      </c>
      <c r="M3" s="1">
        <v>5000</v>
      </c>
    </row>
    <row r="4" spans="3:13">
      <c r="C4" s="1" t="s">
        <v>3</v>
      </c>
      <c r="D4" s="3">
        <v>46117</v>
      </c>
      <c r="G4" s="1" t="s">
        <v>3</v>
      </c>
      <c r="H4" s="3">
        <v>46148</v>
      </c>
      <c r="L4" s="1" t="s">
        <v>3</v>
      </c>
      <c r="M4" s="3">
        <v>46208</v>
      </c>
    </row>
    <row r="5" spans="3:13">
      <c r="C5" s="1" t="s">
        <v>4</v>
      </c>
      <c r="D5" s="1" t="s">
        <v>5</v>
      </c>
      <c r="G5" s="1" t="s">
        <v>4</v>
      </c>
      <c r="H5" s="1" t="s">
        <v>5</v>
      </c>
      <c r="L5" s="1" t="s">
        <v>4</v>
      </c>
      <c r="M5" s="1" t="s">
        <v>5</v>
      </c>
    </row>
    <row r="6" spans="3:13">
      <c r="C6" s="1" t="s">
        <v>6</v>
      </c>
      <c r="D6" s="1">
        <v>3</v>
      </c>
      <c r="G6" s="1" t="s">
        <v>6</v>
      </c>
      <c r="H6" s="1">
        <v>6</v>
      </c>
      <c r="L6" s="1" t="s">
        <v>6</v>
      </c>
      <c r="M6" s="1">
        <v>12</v>
      </c>
    </row>
    <row r="7" spans="3:13">
      <c r="C7" s="1" t="s">
        <v>7</v>
      </c>
      <c r="D7" s="4">
        <f>D2/12</f>
        <v>0.02</v>
      </c>
      <c r="G7" s="1" t="s">
        <v>7</v>
      </c>
      <c r="H7" s="4">
        <f>H2/12</f>
        <v>0.02</v>
      </c>
      <c r="L7" s="1" t="s">
        <v>7</v>
      </c>
      <c r="M7" s="4">
        <f>M2/12</f>
        <v>0.02</v>
      </c>
    </row>
    <row r="8" spans="3:13">
      <c r="C8" s="1" t="s">
        <v>8</v>
      </c>
      <c r="D8" s="5">
        <f>D1*D7</f>
        <v>1000</v>
      </c>
      <c r="G8" s="1" t="s">
        <v>8</v>
      </c>
      <c r="H8" s="5">
        <f>H1*H7</f>
        <v>3000</v>
      </c>
      <c r="L8" s="1" t="s">
        <v>8</v>
      </c>
      <c r="M8" s="5">
        <f>M1*M7</f>
        <v>10000</v>
      </c>
    </row>
    <row r="9" spans="3:13">
      <c r="C9" s="1" t="s">
        <v>9</v>
      </c>
      <c r="D9" s="5">
        <f>D1/D6+D8</f>
        <v>17666.6666666667</v>
      </c>
      <c r="G9" s="1" t="s">
        <v>9</v>
      </c>
      <c r="H9" s="5">
        <f>H1/H6+H8</f>
        <v>28000</v>
      </c>
      <c r="L9" s="1" t="s">
        <v>9</v>
      </c>
      <c r="M9" s="5">
        <f>M1/M6+M8</f>
        <v>51666.6666666667</v>
      </c>
    </row>
    <row r="10" spans="3:13">
      <c r="C10" s="1" t="s">
        <v>10</v>
      </c>
      <c r="D10" s="5">
        <f>D9*D6</f>
        <v>53000</v>
      </c>
      <c r="G10" s="1" t="s">
        <v>10</v>
      </c>
      <c r="H10" s="5">
        <f>H9*H6</f>
        <v>168000</v>
      </c>
      <c r="L10" s="1" t="s">
        <v>10</v>
      </c>
      <c r="M10" s="5">
        <f>M9*M6</f>
        <v>620000</v>
      </c>
    </row>
    <row r="11" spans="3:13">
      <c r="C11" s="1" t="s">
        <v>11</v>
      </c>
      <c r="D11" s="5">
        <f>D1+D3+D12</f>
        <v>54000</v>
      </c>
      <c r="G11" s="1" t="s">
        <v>11</v>
      </c>
      <c r="H11" s="5">
        <f>H1+H3+H12</f>
        <v>171000</v>
      </c>
      <c r="L11" s="1" t="s">
        <v>11</v>
      </c>
      <c r="M11" s="5">
        <f>M1+M3+M12</f>
        <v>625000</v>
      </c>
    </row>
    <row r="12" spans="3:13">
      <c r="C12" s="1" t="s">
        <v>12</v>
      </c>
      <c r="D12" s="5">
        <f>D8*D6</f>
        <v>3000</v>
      </c>
      <c r="G12" s="1" t="s">
        <v>12</v>
      </c>
      <c r="H12" s="5">
        <f>H8*H6</f>
        <v>18000</v>
      </c>
      <c r="L12" s="1" t="s">
        <v>12</v>
      </c>
      <c r="M12" s="5">
        <f>M8*M6</f>
        <v>120000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Input</vt:lpstr>
      <vt:lpstr>Flat Rate Balance</vt:lpstr>
      <vt:lpstr>Reducing Balance Schedule</vt:lpstr>
      <vt:lpstr>Scenario Comparison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Uyanwune chekwube</cp:lastModifiedBy>
  <dcterms:created xsi:type="dcterms:W3CDTF">2026-08-21T01:42:00Z</dcterms:created>
  <dcterms:modified xsi:type="dcterms:W3CDTF">2026-08-26T15:26:07Z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51A0A612BC7E4DAA9BF6F140BB97B858_12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