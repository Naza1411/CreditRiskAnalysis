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7" activeTab="8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3" i="2" l="1"/>
  <c r="I33" i="2"/>
  <c r="J33" i="2" s="1"/>
  <c r="H33" i="2"/>
  <c r="I28" i="2"/>
  <c r="H28" i="2"/>
  <c r="I25" i="2"/>
  <c r="H25" i="2"/>
  <c r="D33" i="2"/>
  <c r="D32" i="2"/>
  <c r="D31" i="2"/>
  <c r="D30" i="2"/>
  <c r="F3" i="2" l="1"/>
  <c r="F4" i="2"/>
  <c r="F5" i="2"/>
  <c r="K5" i="2" s="1"/>
  <c r="F6" i="2"/>
  <c r="K6" i="2" s="1"/>
  <c r="F7" i="2"/>
  <c r="K7" i="2" s="1"/>
  <c r="F8" i="2"/>
  <c r="K8" i="2" s="1"/>
  <c r="F9" i="2"/>
  <c r="K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" i="2"/>
  <c r="K4" i="2" s="1"/>
  <c r="K3" i="2"/>
  <c r="D34" i="2" l="1"/>
  <c r="D36" i="2"/>
  <c r="D35" i="2"/>
  <c r="D39" i="2"/>
  <c r="D37" i="2"/>
  <c r="D38" i="2"/>
  <c r="L9" i="2"/>
  <c r="K2" i="2"/>
  <c r="D25" i="2" s="1"/>
  <c r="D29" i="2"/>
  <c r="D28" i="2"/>
  <c r="D26" i="2" l="1"/>
  <c r="D27" i="2"/>
</calcChain>
</file>

<file path=xl/sharedStrings.xml><?xml version="1.0" encoding="utf-8"?>
<sst xmlns="http://schemas.openxmlformats.org/spreadsheetml/2006/main" count="594" uniqueCount="240">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</sst>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3" borderId="0" xfId="0" applyFill="1" applyAlignment="1">
      <alignment vertical="center"/>
    </xf>
    <xf numFmtId="0" fontId="0" fillId="4" borderId="0" xfId="0" applyFill="1" applyAlignment="1"/>
    <xf numFmtId="0" fontId="0" fillId="2" borderId="0" xfId="0" applyFill="1" applyAlignment="1"/>
    <xf numFmtId="0" fontId="0" fillId="3" borderId="0" xfId="0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I17" sqref="I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6" bestFit="1" customWidth="1"/>
    <col min="6" max="6" width="12.36328125" style="6" bestFit="1" customWidth="1"/>
    <col min="7" max="7" width="12.26953125" style="6" bestFit="1" customWidth="1"/>
    <col min="8" max="8" width="20.7265625" style="6" bestFit="1" customWidth="1"/>
    <col min="9" max="9" width="19" style="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x14ac:dyDescent="0.35">
      <c r="A1" s="5" t="s">
        <v>57</v>
      </c>
      <c r="B1" s="5" t="s">
        <v>6</v>
      </c>
      <c r="C1" s="5" t="s">
        <v>94</v>
      </c>
      <c r="D1" s="5" t="s">
        <v>28</v>
      </c>
      <c r="E1" s="5" t="s">
        <v>29</v>
      </c>
      <c r="F1" s="5" t="s">
        <v>62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7">
        <v>300000</v>
      </c>
      <c r="F2" s="7">
        <v>3</v>
      </c>
      <c r="G2" s="7">
        <v>725</v>
      </c>
      <c r="H2" s="7">
        <v>20000</v>
      </c>
      <c r="I2" s="7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7">
        <v>100000</v>
      </c>
      <c r="F3" s="7">
        <v>3</v>
      </c>
      <c r="G3" s="7">
        <v>650</v>
      </c>
      <c r="H3" s="7">
        <v>15000</v>
      </c>
      <c r="I3" s="7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7">
        <v>500000</v>
      </c>
      <c r="F4" s="7">
        <v>3</v>
      </c>
      <c r="G4" s="7">
        <v>780</v>
      </c>
      <c r="H4" s="7">
        <v>30000</v>
      </c>
      <c r="I4" s="7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7">
        <v>600000</v>
      </c>
      <c r="F5" s="7">
        <v>3</v>
      </c>
      <c r="G5" s="7">
        <v>590</v>
      </c>
      <c r="H5" s="7">
        <v>45000</v>
      </c>
      <c r="I5" s="7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7">
        <v>80000</v>
      </c>
      <c r="F6" s="7">
        <v>3</v>
      </c>
      <c r="G6" s="7">
        <v>520</v>
      </c>
      <c r="H6" s="7">
        <v>22000</v>
      </c>
      <c r="I6" s="7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7">
        <v>700000</v>
      </c>
      <c r="F7" s="7">
        <v>3</v>
      </c>
      <c r="G7" s="7">
        <v>735</v>
      </c>
      <c r="H7" s="7">
        <v>35000</v>
      </c>
      <c r="I7" s="7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7">
        <v>200000</v>
      </c>
      <c r="F8" s="7">
        <v>3</v>
      </c>
      <c r="G8" s="7">
        <v>680</v>
      </c>
      <c r="H8" s="7">
        <v>12000</v>
      </c>
      <c r="I8" s="7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7">
        <v>1000000</v>
      </c>
      <c r="F9" s="7">
        <v>3</v>
      </c>
      <c r="G9" s="7">
        <v>760</v>
      </c>
      <c r="H9" s="7">
        <v>60000</v>
      </c>
      <c r="I9" s="7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7">
        <v>120000</v>
      </c>
      <c r="F10" s="7">
        <v>3</v>
      </c>
      <c r="G10" s="7">
        <v>605</v>
      </c>
      <c r="H10" s="7">
        <v>18000</v>
      </c>
      <c r="I10" s="7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7">
        <v>350000</v>
      </c>
      <c r="F11" s="7">
        <v>3</v>
      </c>
      <c r="G11" s="7">
        <v>745</v>
      </c>
      <c r="H11" s="7">
        <v>20000</v>
      </c>
      <c r="I11" s="7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7">
        <v>120000</v>
      </c>
      <c r="F12" s="7">
        <v>3</v>
      </c>
      <c r="G12" s="7">
        <v>730</v>
      </c>
      <c r="H12" s="7">
        <v>15000</v>
      </c>
      <c r="I12" s="7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7">
        <v>900000</v>
      </c>
      <c r="F13" s="7">
        <v>3</v>
      </c>
      <c r="G13" s="7">
        <v>790</v>
      </c>
      <c r="H13" s="7">
        <v>40000</v>
      </c>
      <c r="I13" s="7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7">
        <v>250000</v>
      </c>
      <c r="F14" s="7">
        <v>3</v>
      </c>
      <c r="G14" s="7">
        <v>540</v>
      </c>
      <c r="H14" s="7">
        <v>25000</v>
      </c>
      <c r="I14" s="7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7">
        <v>150000</v>
      </c>
      <c r="F15" s="7">
        <v>3</v>
      </c>
      <c r="G15" s="7">
        <v>770</v>
      </c>
      <c r="H15" s="7">
        <v>18000</v>
      </c>
      <c r="I15" s="7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7">
        <v>300000</v>
      </c>
      <c r="F16" s="7">
        <v>3</v>
      </c>
      <c r="G16" s="7">
        <v>610</v>
      </c>
      <c r="H16" s="7">
        <v>28000</v>
      </c>
      <c r="I16" s="7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tabSelected="1" topLeftCell="A14" workbookViewId="0">
      <selection activeCell="K34" sqref="K34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16.26953125" style="6" bestFit="1" customWidth="1"/>
    <col min="11" max="11" width="21.26953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 t="shared" ref="K5:K21" si="1"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 t="shared" si="1"/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 t="shared" si="1"/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 t="shared" si="1"/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 t="shared" si="1"/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 t="shared" si="1"/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 t="shared" si="1"/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 t="shared" si="1"/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 t="shared" si="1"/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 t="shared" si="1"/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 t="shared" si="1"/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 t="shared" si="1"/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 t="shared" si="1"/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 t="shared" si="1"/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 t="shared" si="1"/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 t="shared" si="1"/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 t="shared" si="1"/>
        <v>85000</v>
      </c>
    </row>
    <row r="23" spans="1:13" x14ac:dyDescent="0.35">
      <c r="B23" s="17" t="s">
        <v>238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F25" t="s">
        <v>66</v>
      </c>
      <c r="G25" s="13"/>
      <c r="H25" s="16">
        <f>SUMIFS(D25:D27, A25:A27,F25, C25:C27, "&lt;="&amp;C27)</f>
        <v>57000</v>
      </c>
      <c r="I25" s="6">
        <f>SUMIFS(D25:D27, A25:A27,F25, C25:C27, "&lt;="&amp;C27)</f>
        <v>57000</v>
      </c>
      <c r="J25" s="20" t="s">
        <v>239</v>
      </c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  <c r="J28" s="18" t="s">
        <v>239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" t="s">
        <v>72</v>
      </c>
      <c r="B31" s="2">
        <v>1</v>
      </c>
      <c r="C31" s="3">
        <v>45874</v>
      </c>
      <c r="D31" s="10">
        <f>K4/H4</f>
        <v>32666.666666666668</v>
      </c>
    </row>
    <row r="32" spans="1:13" x14ac:dyDescent="0.35">
      <c r="A32" s="2" t="s">
        <v>72</v>
      </c>
      <c r="B32" s="2">
        <v>2</v>
      </c>
      <c r="C32" s="3">
        <v>45905</v>
      </c>
      <c r="D32" s="10">
        <f>K4/H4</f>
        <v>32666.666666666668</v>
      </c>
    </row>
    <row r="33" spans="1:11" x14ac:dyDescent="0.35">
      <c r="A33" s="2" t="s">
        <v>72</v>
      </c>
      <c r="B33" s="2">
        <v>3</v>
      </c>
      <c r="C33" s="3">
        <v>45935</v>
      </c>
      <c r="D33" s="6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19">
        <f>MAX(0,H33-I33)</f>
        <v>32666.666666666664</v>
      </c>
      <c r="K33" s="13">
        <f>C33</f>
        <v>45935</v>
      </c>
    </row>
    <row r="34" spans="1:11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11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11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11" x14ac:dyDescent="0.35">
      <c r="A37" s="2" t="s">
        <v>76</v>
      </c>
      <c r="B37" s="2">
        <v>1</v>
      </c>
      <c r="D37" s="6">
        <f>K6/H6</f>
        <v>49533.333333333336</v>
      </c>
    </row>
    <row r="38" spans="1:11" x14ac:dyDescent="0.35">
      <c r="A38" s="2" t="s">
        <v>76</v>
      </c>
      <c r="B38" s="2">
        <v>2</v>
      </c>
      <c r="D38" s="6">
        <f>K6/H5</f>
        <v>49533.333333333336</v>
      </c>
    </row>
    <row r="39" spans="1:11" x14ac:dyDescent="0.35">
      <c r="A39" s="2" t="s">
        <v>76</v>
      </c>
      <c r="B39" s="2">
        <v>3</v>
      </c>
      <c r="D39" s="6">
        <f>K6/H6</f>
        <v>49533.333333333336</v>
      </c>
    </row>
    <row r="40" spans="1:11" x14ac:dyDescent="0.35">
      <c r="A40" s="2" t="s">
        <v>195</v>
      </c>
    </row>
    <row r="41" spans="1:11" x14ac:dyDescent="0.35">
      <c r="A41" s="2" t="s">
        <v>196</v>
      </c>
    </row>
    <row r="42" spans="1:11" x14ac:dyDescent="0.35">
      <c r="A42" s="2" t="s">
        <v>197</v>
      </c>
    </row>
    <row r="43" spans="1:11" x14ac:dyDescent="0.35">
      <c r="A43" s="2" t="s">
        <v>198</v>
      </c>
    </row>
    <row r="44" spans="1:11" x14ac:dyDescent="0.35">
      <c r="A44" s="2" t="s">
        <v>199</v>
      </c>
    </row>
    <row r="45" spans="1:11" x14ac:dyDescent="0.35">
      <c r="A45" s="2" t="s">
        <v>200</v>
      </c>
    </row>
    <row r="46" spans="1:11" x14ac:dyDescent="0.35">
      <c r="A46" s="2" t="s">
        <v>201</v>
      </c>
    </row>
    <row r="47" spans="1:11" x14ac:dyDescent="0.35">
      <c r="A47" s="2" t="s">
        <v>202</v>
      </c>
    </row>
    <row r="48" spans="1:11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D25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2026-09-02T16:38:42Z</dcterms:modified>
</cp:coreProperties>
</file>