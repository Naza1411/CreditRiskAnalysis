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12" l="1"/>
  <c r="H13" i="12"/>
  <c r="H11" i="12"/>
  <c r="G12" i="12"/>
  <c r="G13" i="12"/>
  <c r="G11" i="12"/>
  <c r="K7" i="12"/>
  <c r="K6" i="12"/>
  <c r="K5" i="12"/>
  <c r="J6" i="12"/>
  <c r="J7" i="12"/>
  <c r="J5" i="12"/>
  <c r="H9" i="12"/>
  <c r="H10" i="12"/>
  <c r="K10" i="12"/>
  <c r="K9" i="12"/>
  <c r="K8" i="12"/>
  <c r="J10" i="12"/>
  <c r="J9" i="12"/>
  <c r="J8" i="12"/>
  <c r="I10" i="12"/>
  <c r="I9" i="12"/>
  <c r="I8" i="12"/>
  <c r="I7" i="12"/>
  <c r="I6" i="12"/>
  <c r="I5" i="12"/>
  <c r="H6" i="12"/>
  <c r="H7" i="12"/>
  <c r="H5" i="12"/>
  <c r="H4" i="12"/>
  <c r="H3" i="12"/>
  <c r="H8" i="12"/>
  <c r="H2" i="12"/>
  <c r="G7" i="12"/>
  <c r="G6" i="12"/>
  <c r="G5" i="12"/>
  <c r="J33" i="2" l="1"/>
  <c r="F3" i="2" l="1"/>
  <c r="F4" i="2"/>
  <c r="F5" i="2"/>
  <c r="J5" i="2" s="1"/>
  <c r="D11" i="12" s="1"/>
  <c r="I11" i="12" s="1"/>
  <c r="F6" i="2"/>
  <c r="J6" i="2" s="1"/>
  <c r="D14" i="12" s="1"/>
  <c r="F7" i="2"/>
  <c r="J7" i="2" s="1"/>
  <c r="F8" i="2"/>
  <c r="J8" i="2" s="1"/>
  <c r="D20" i="12" s="1"/>
  <c r="F9" i="2"/>
  <c r="F10" i="2"/>
  <c r="J10" i="2" s="1"/>
  <c r="D26" i="12" s="1"/>
  <c r="F11" i="2"/>
  <c r="J11" i="2" s="1"/>
  <c r="D29" i="12" s="1"/>
  <c r="F12" i="2"/>
  <c r="J12" i="2" s="1"/>
  <c r="D32" i="12" s="1"/>
  <c r="F13" i="2"/>
  <c r="J13" i="2" s="1"/>
  <c r="D35" i="12" s="1"/>
  <c r="D36" i="12" s="1"/>
  <c r="F14" i="2"/>
  <c r="J14" i="2" s="1"/>
  <c r="D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F19" i="2"/>
  <c r="J19" i="2" s="1"/>
  <c r="D53" i="12" s="1"/>
  <c r="F20" i="2"/>
  <c r="J20" i="2" s="1"/>
  <c r="D56" i="12" s="1"/>
  <c r="I56" i="12" s="1"/>
  <c r="F21" i="2"/>
  <c r="J21" i="2" s="1"/>
  <c r="D59" i="12" s="1"/>
  <c r="I59" i="12" s="1"/>
  <c r="F2" i="2"/>
  <c r="J4" i="2" s="1"/>
  <c r="D8" i="12" s="1"/>
  <c r="J3" i="2"/>
  <c r="D5" i="12" s="1"/>
  <c r="D48" i="12" l="1"/>
  <c r="I47" i="12"/>
  <c r="D37" i="12"/>
  <c r="I35" i="12"/>
  <c r="D45" i="12"/>
  <c r="I44" i="12"/>
  <c r="D33" i="12"/>
  <c r="I32" i="12"/>
  <c r="D21" i="12"/>
  <c r="I20" i="12"/>
  <c r="D54" i="12"/>
  <c r="I53" i="12"/>
  <c r="D42" i="12"/>
  <c r="I41" i="12"/>
  <c r="D30" i="12"/>
  <c r="I29" i="12"/>
  <c r="D51" i="12"/>
  <c r="I50" i="12"/>
  <c r="D39" i="12"/>
  <c r="I38" i="12"/>
  <c r="D27" i="12"/>
  <c r="I26" i="12"/>
  <c r="D15" i="12"/>
  <c r="I15" i="12" s="1"/>
  <c r="I14" i="12"/>
  <c r="D61" i="12"/>
  <c r="I61" i="12" s="1"/>
  <c r="D60" i="12"/>
  <c r="I60" i="12" s="1"/>
  <c r="D12" i="12"/>
  <c r="I12" i="12" s="1"/>
  <c r="D13" i="12"/>
  <c r="I13" i="12" s="1"/>
  <c r="D57" i="12"/>
  <c r="I57" i="12" s="1"/>
  <c r="D58" i="12"/>
  <c r="I58" i="12" s="1"/>
  <c r="D10" i="12"/>
  <c r="D9" i="12"/>
  <c r="D7" i="12"/>
  <c r="D6" i="12"/>
  <c r="J9" i="2"/>
  <c r="D23" i="12" s="1"/>
  <c r="D31" i="2"/>
  <c r="D32" i="2"/>
  <c r="D33" i="2" s="1"/>
  <c r="D29" i="2"/>
  <c r="D28" i="2"/>
  <c r="D30" i="2"/>
  <c r="D19" i="12"/>
  <c r="I19" i="12" s="1"/>
  <c r="D17" i="12"/>
  <c r="I17" i="12" s="1"/>
  <c r="D18" i="12"/>
  <c r="I18" i="12" s="1"/>
  <c r="D34" i="2"/>
  <c r="D36" i="2"/>
  <c r="D35" i="2"/>
  <c r="D39" i="2"/>
  <c r="D37" i="2"/>
  <c r="D38" i="2"/>
  <c r="J2" i="2"/>
  <c r="D25" i="2" s="1"/>
  <c r="D24" i="12" l="1"/>
  <c r="I23" i="12"/>
  <c r="D40" i="12"/>
  <c r="I40" i="12" s="1"/>
  <c r="I39" i="12"/>
  <c r="D31" i="12"/>
  <c r="I31" i="12" s="1"/>
  <c r="I30" i="12"/>
  <c r="D55" i="12"/>
  <c r="I55" i="12" s="1"/>
  <c r="I54" i="12"/>
  <c r="D34" i="12"/>
  <c r="I34" i="12" s="1"/>
  <c r="I33" i="12"/>
  <c r="I36" i="12"/>
  <c r="I37" i="12"/>
  <c r="D28" i="12"/>
  <c r="I28" i="12" s="1"/>
  <c r="I27" i="12"/>
  <c r="D52" i="12"/>
  <c r="I52" i="12" s="1"/>
  <c r="I51" i="12"/>
  <c r="D43" i="12"/>
  <c r="I43" i="12" s="1"/>
  <c r="I42" i="12"/>
  <c r="D22" i="12"/>
  <c r="I22" i="12" s="1"/>
  <c r="I21" i="12"/>
  <c r="D46" i="12"/>
  <c r="I46" i="12" s="1"/>
  <c r="I45" i="12"/>
  <c r="D49" i="12"/>
  <c r="I49" i="12" s="1"/>
  <c r="I48" i="12"/>
  <c r="I33" i="2"/>
  <c r="H33" i="2"/>
  <c r="I28" i="2"/>
  <c r="H28" i="2"/>
  <c r="D3" i="12"/>
  <c r="G3" i="12" s="1"/>
  <c r="D2" i="12"/>
  <c r="G2" i="12" s="1"/>
  <c r="D4" i="12"/>
  <c r="G4" i="12" s="1"/>
  <c r="D26" i="2"/>
  <c r="H25" i="2" s="1"/>
  <c r="D27" i="2"/>
  <c r="D16" i="12"/>
  <c r="I16" i="12" s="1"/>
  <c r="I4" i="12" l="1"/>
  <c r="I3" i="12"/>
  <c r="I2" i="12"/>
  <c r="D25" i="12"/>
  <c r="I25" i="12" s="1"/>
  <c r="I24" i="12"/>
  <c r="I25" i="2"/>
</calcChain>
</file>

<file path=xl/sharedStrings.xml><?xml version="1.0" encoding="utf-8"?>
<sst xmlns="http://schemas.openxmlformats.org/spreadsheetml/2006/main" count="753" uniqueCount="261">
  <si>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</si>
  <si>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</si>
  <si>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</si>
  <si>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</si>
  <si>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</si>
  <si>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</si>
  <si>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</si>
  <si>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</si>
  <si>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</si>
  <si>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</si>
  <si>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</si>
  <si>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</si>
  <si>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</si>
  <si>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</si>
  <si>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</si>
  <si>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</si>
  <si>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</si>
  <si>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</si>
  <si>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</si>
  <si>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</si>
  <si>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</si>
  <si>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</si>
  <si>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</si>
  <si>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</si>
  <si>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</si>
  <si>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</si>
  <si>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</si>
  <si>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</si>
  <si>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</si>
  <si>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</si>
  <si>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</si>
  <si>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</si>
  <si>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</si>
  <si>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</si>
  <si>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</si>
  <si>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</si>
  <si>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</si>
  <si>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</si>
  <si>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</si>
  <si>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</si>
  <si>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</si>
  <si>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</si>
  <si>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</si>
  <si>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</si>
  <si>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</si>
  <si>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</si>
  <si>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</si>
  <si>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</si>
  <si>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</si>
  <si>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</si>
  <si>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</si>
  <si>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</si>
  <si>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</si>
  <si>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</si>
  <si>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</si>
  <si>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</si>
  <si>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</si>
  <si>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</si>
  <si>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</si>
  <si>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</si>
  <si>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</si>
  <si>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</si>
  <si>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</si>
  <si>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</si>
  <si>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</si>
  <si>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</si>
  <si>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</si>
  <si>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</si>
  <si>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</si>
  <si>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</si>
  <si>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</si>
  <si>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</si>
  <si>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</si>
  <si>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</si>
  <si>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</si>
  <si>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</si>
  <si>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</si>
  <si>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</si>
  <si>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</si>
  <si>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</si>
  <si>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</si>
  <si>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</si>
  <si>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</si>
  <si>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</si>
  <si>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</si>
  <si>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</si>
  <si>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</si>
  <si>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</si>
  <si>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</si>
  <si>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</si>
  <si>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</si>
  <si>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</si>
  <si>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</si>
  <si>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</si>
  <si>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</si>
  <si>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</si>
  <si>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</si>
  <si>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</si>
  <si>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</si>
  <si>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</si>
  <si>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</si>
  <si>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</si>
  <si>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</si>
  <si>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</si>
  <si>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</si>
  <si>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</si>
  <si>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</si>
  <si>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</si>
  <si>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</si>
  <si>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</si>
  <si>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</si>
  <si>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</si>
  <si>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</si>
  <si>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</si>
  <si>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</si>
  <si>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</si>
  <si>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</si>
  <si>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</si>
  <si>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</si>
  <si>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</si>
  <si>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</si>
  <si>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</si>
  <si>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</si>
  <si>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</si>
  <si>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</si>
  <si>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</si>
  <si>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</si>
  <si>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</si>
  <si>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</si>
  <si>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</si>
  <si>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</si>
  <si>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</si>
  <si>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</si>
  <si>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</si>
  <si>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</si>
  <si>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</si>
  <si>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</si>
  <si>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</si>
  <si>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</si>
  <si>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</si>
  <si>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</si>
  <si>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</si>
  <si>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</si>
  <si>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</si>
  <si>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</si>
  <si>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</si>
  <si>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</si>
  <si>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</si>
  <si>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</si>
  <si>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</si>
  <si>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</si>
  <si>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</si>
  <si>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</si>
  <si>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</si>
  <si>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</si>
  <si>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</si>
  <si>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</si>
  <si>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</si>
  <si>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</si>
  <si>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</si>
  <si>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</si>
  <si>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</si>
  <si>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</si>
  <si>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</si>
  <si>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</si>
  <si>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</si>
  <si>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</si>
  <si>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</si>
  <si>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</si>
  <si>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</si>
  <si>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</si>
  <si>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</si>
  <si>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</si>
  <si>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</si>
  <si>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</si>
  <si>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</si>
  <si>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</si>
  <si>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</si>
  <si>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</si>
  <si>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</si>
  <si>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</si>
  <si>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</si>
  <si>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</si>
  <si>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</si>
  <si>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</si>
  <si>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</si>
  <si>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</si>
  <si>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</si>
  <si>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</si>
  <si>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</si>
  <si>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</si>
  <si>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</si>
  <si>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</si>
  <si>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</si>
  <si>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</si>
  <si>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</si>
  <si>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</si>
  <si>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</si>
  <si>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</si>
  <si>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</si>
  <si>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</si>
  <si>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</si>
  <si>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</si>
  <si>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</si>
  <si>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</si>
  <si>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</si>
  <si>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</si>
  <si>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</si>
  <si>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</si>
  <si>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</si>
  <si>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</si>
  <si>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</si>
  <si>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</si>
  <si>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</si>
  <si>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</si>
  <si>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</si>
  <si>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</si>
  <si>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</si>
  <si>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</si>
  <si>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</si>
  <si>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</si>
  <si>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</si>
  <si>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</si>
  <si>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</si>
  <si>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</si>
  <si>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</si>
  <si>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</si>
  <si>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</si>
  <si>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</si>
  <si>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</si>
  <si>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</si>
  <si>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</si>
  <si>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</si>
  <si>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</si>
  <si>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</si>
  <si>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</si>
  <si>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</si>
  <si>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</si>
  <si>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</si>
  <si>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</si>
  <si>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</si>
  <si>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</si>
  <si>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</si>
  <si>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</si>
  <si>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</si>
  <si>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</si>
  <si>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</si>
  <si>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</si>
  <si>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</si>
  <si>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</si>
  <si>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Payment Date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</si>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</sst>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2" borderId="0" xfId="0" applyFill="1" applyAlignment="1">
      <alignment vertical="center"/>
    </xf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0" fontId="0" fillId="3" borderId="0" xfId="0" applyFill="1" applyAlignment="1">
      <alignment vertical="center" wrapText="1"/>
    </xf>
    <xf numFmtId="14" fontId="0" fillId="3" borderId="0" xfId="0" applyNumberFormat="1" applyFill="1" applyAlignment="1">
      <alignment vertical="center" wrapText="1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/>
    <xf numFmtId="164" fontId="1" fillId="0" borderId="0" xfId="2" applyNumberFormat="1" applyFont="1" applyAlignment="1">
      <alignment horizontal="right" vertical="center"/>
    </xf>
    <xf numFmtId="164" fontId="0" fillId="0" borderId="0" xfId="2" applyNumberFormat="1" applyFont="1" applyAlignment="1">
      <alignment horizontal="right" vertical="center"/>
    </xf>
    <xf numFmtId="0" fontId="1" fillId="0" borderId="0" xfId="0" applyFont="1" applyAlignment="1">
      <alignment wrapText="1"/>
    </xf>
    <xf numFmtId="0" fontId="0" fillId="0" borderId="0" xfId="0" applyFill="1" applyAlignment="1">
      <alignment vertical="center"/>
    </xf>
    <xf numFmtId="14" fontId="0" fillId="0" borderId="0" xfId="0" applyNumberFormat="1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1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0" fillId="0" borderId="0" xfId="0" applyNumberFormat="1"/>
    <xf numFmtId="0" fontId="5" fillId="0" borderId="0" xfId="0" applyFont="1"/>
    <xf numFmtId="164" fontId="0" fillId="0" borderId="0" xfId="0" applyNumberFormat="1" applyAlignment="1"/>
    <xf numFmtId="0" fontId="5" fillId="0" borderId="0" xfId="0" applyFont="1" applyAlignment="1"/>
    <xf numFmtId="164" fontId="1" fillId="0" borderId="0" xfId="2" applyNumberFormat="1" applyFont="1" applyAlignment="1"/>
    <xf numFmtId="164" fontId="0" fillId="0" borderId="0" xfId="0" applyNumberFormat="1" applyAlignment="1">
      <alignment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182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182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182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181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182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182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57</v>
      </c>
      <c r="B2" s="7" t="s">
        <v>111</v>
      </c>
      <c r="C2" s="7" t="s">
        <v>182</v>
      </c>
      <c r="D2" s="7" t="s">
        <v>112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113</v>
      </c>
      <c r="C3" s="7" t="s">
        <v>182</v>
      </c>
      <c r="D3" s="7" t="s">
        <v>112</v>
      </c>
      <c r="E3" s="7" t="s">
        <v>7</v>
      </c>
      <c r="F3" s="7" t="s">
        <v>39</v>
      </c>
    </row>
    <row r="4" spans="1:6" x14ac:dyDescent="0.35">
      <c r="A4" s="7" t="s">
        <v>90</v>
      </c>
      <c r="B4" s="7" t="s">
        <v>114</v>
      </c>
      <c r="C4" s="7" t="s">
        <v>41</v>
      </c>
      <c r="D4" s="7" t="s">
        <v>112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115</v>
      </c>
      <c r="C5" s="7" t="s">
        <v>182</v>
      </c>
      <c r="D5" s="7" t="s">
        <v>112</v>
      </c>
      <c r="E5" s="7" t="s">
        <v>97</v>
      </c>
      <c r="F5" s="7" t="s">
        <v>39</v>
      </c>
    </row>
    <row r="6" spans="1:6" x14ac:dyDescent="0.35">
      <c r="A6" s="7" t="s">
        <v>29</v>
      </c>
      <c r="B6" s="7" t="s">
        <v>116</v>
      </c>
      <c r="C6" s="7" t="s">
        <v>49</v>
      </c>
      <c r="D6" s="7" t="s">
        <v>112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117</v>
      </c>
      <c r="C7" s="7" t="s">
        <v>44</v>
      </c>
      <c r="D7" s="7" t="s">
        <v>112</v>
      </c>
      <c r="E7" s="7">
        <v>12</v>
      </c>
      <c r="F7" s="7" t="s">
        <v>39</v>
      </c>
    </row>
    <row r="8" spans="1:6" x14ac:dyDescent="0.35">
      <c r="A8" s="7" t="s">
        <v>91</v>
      </c>
      <c r="B8" s="7" t="s">
        <v>118</v>
      </c>
      <c r="C8" s="7" t="s">
        <v>44</v>
      </c>
      <c r="D8" s="7" t="s">
        <v>112</v>
      </c>
      <c r="E8" s="7">
        <v>720</v>
      </c>
      <c r="F8" s="7" t="s">
        <v>45</v>
      </c>
    </row>
    <row r="9" spans="1:6" x14ac:dyDescent="0.35">
      <c r="A9" s="7" t="s">
        <v>92</v>
      </c>
      <c r="B9" s="7" t="s">
        <v>119</v>
      </c>
      <c r="C9" s="7" t="s">
        <v>181</v>
      </c>
      <c r="D9" s="7" t="s">
        <v>112</v>
      </c>
      <c r="E9" s="7">
        <v>20000</v>
      </c>
      <c r="F9" s="7" t="s">
        <v>45</v>
      </c>
    </row>
    <row r="10" spans="1:6" x14ac:dyDescent="0.35">
      <c r="A10" s="7" t="s">
        <v>93</v>
      </c>
      <c r="B10" s="7" t="s">
        <v>120</v>
      </c>
      <c r="C10" s="7" t="s">
        <v>181</v>
      </c>
      <c r="D10" s="7" t="s">
        <v>112</v>
      </c>
      <c r="E10" s="7">
        <v>29000</v>
      </c>
      <c r="F10" s="7" t="s">
        <v>39</v>
      </c>
    </row>
    <row r="11" spans="1:6" x14ac:dyDescent="0.35">
      <c r="A11" s="7" t="s">
        <v>94</v>
      </c>
      <c r="B11" s="7" t="s">
        <v>121</v>
      </c>
      <c r="C11" s="7" t="s">
        <v>182</v>
      </c>
      <c r="D11" s="7" t="s">
        <v>112</v>
      </c>
      <c r="E11" s="7" t="s">
        <v>98</v>
      </c>
      <c r="F11" s="7" t="s">
        <v>39</v>
      </c>
    </row>
    <row r="12" spans="1:6" x14ac:dyDescent="0.35">
      <c r="A12" s="7" t="s">
        <v>95</v>
      </c>
      <c r="B12" s="7" t="s">
        <v>123</v>
      </c>
      <c r="C12" s="7" t="s">
        <v>182</v>
      </c>
      <c r="D12" s="7" t="s">
        <v>112</v>
      </c>
      <c r="E12" s="7" t="s">
        <v>102</v>
      </c>
      <c r="F12" s="7" t="s">
        <v>39</v>
      </c>
    </row>
    <row r="13" spans="1:6" x14ac:dyDescent="0.35">
      <c r="A13" s="7" t="s">
        <v>96</v>
      </c>
      <c r="B13" s="7" t="s">
        <v>124</v>
      </c>
      <c r="C13" s="7" t="s">
        <v>125</v>
      </c>
      <c r="D13" s="7" t="s">
        <v>112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56</v>
      </c>
      <c r="B2" s="7" t="s">
        <v>126</v>
      </c>
      <c r="C2" s="7" t="s">
        <v>182</v>
      </c>
      <c r="D2" s="7" t="s">
        <v>127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128</v>
      </c>
      <c r="C3" s="7" t="s">
        <v>182</v>
      </c>
      <c r="D3" s="7" t="s">
        <v>127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129</v>
      </c>
      <c r="C4" s="7" t="s">
        <v>182</v>
      </c>
      <c r="D4" s="7" t="s">
        <v>127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130</v>
      </c>
      <c r="C5" s="7" t="s">
        <v>41</v>
      </c>
      <c r="D5" s="7" t="s">
        <v>127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131</v>
      </c>
      <c r="C6" s="7" t="s">
        <v>181</v>
      </c>
      <c r="D6" s="7" t="s">
        <v>127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132</v>
      </c>
      <c r="C7" s="7" t="s">
        <v>181</v>
      </c>
      <c r="D7" s="7" t="s">
        <v>127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133</v>
      </c>
      <c r="C8" s="7" t="s">
        <v>181</v>
      </c>
      <c r="D8" s="7" t="s">
        <v>127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134</v>
      </c>
      <c r="C9" s="7" t="s">
        <v>44</v>
      </c>
      <c r="D9" s="7" t="s">
        <v>127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135</v>
      </c>
      <c r="C10" s="7" t="s">
        <v>41</v>
      </c>
      <c r="D10" s="7" t="s">
        <v>127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136</v>
      </c>
      <c r="C11" s="7" t="s">
        <v>122</v>
      </c>
      <c r="D11" s="7" t="s">
        <v>127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137</v>
      </c>
      <c r="C12" s="7" t="s">
        <v>41</v>
      </c>
      <c r="D12" s="7" t="s">
        <v>127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56</v>
      </c>
      <c r="B2" s="7" t="s">
        <v>138</v>
      </c>
      <c r="C2" s="7" t="s">
        <v>182</v>
      </c>
      <c r="D2" s="7" t="s">
        <v>139</v>
      </c>
      <c r="E2" s="7" t="s">
        <v>66</v>
      </c>
      <c r="F2" s="7" t="s">
        <v>39</v>
      </c>
    </row>
    <row r="3" spans="1:6" x14ac:dyDescent="0.35">
      <c r="A3" s="7" t="s">
        <v>140</v>
      </c>
      <c r="B3" s="7" t="s">
        <v>141</v>
      </c>
      <c r="C3" s="7" t="s">
        <v>44</v>
      </c>
      <c r="D3" s="7" t="s">
        <v>139</v>
      </c>
      <c r="E3" s="7">
        <v>1</v>
      </c>
      <c r="F3" s="7" t="s">
        <v>39</v>
      </c>
    </row>
    <row r="4" spans="1:6" x14ac:dyDescent="0.35">
      <c r="A4" s="7" t="s">
        <v>142</v>
      </c>
      <c r="B4" s="7" t="s">
        <v>143</v>
      </c>
      <c r="C4" s="7" t="s">
        <v>41</v>
      </c>
      <c r="D4" s="7" t="s">
        <v>139</v>
      </c>
      <c r="E4" s="8">
        <v>45871</v>
      </c>
      <c r="F4" s="7" t="s">
        <v>39</v>
      </c>
    </row>
    <row r="5" spans="1:6" x14ac:dyDescent="0.35">
      <c r="A5" s="7" t="s">
        <v>144</v>
      </c>
      <c r="B5" s="7" t="s">
        <v>145</v>
      </c>
      <c r="C5" s="7" t="s">
        <v>181</v>
      </c>
      <c r="D5" s="7" t="s">
        <v>139</v>
      </c>
      <c r="E5" s="7">
        <v>25000</v>
      </c>
      <c r="F5" s="7" t="s">
        <v>39</v>
      </c>
    </row>
    <row r="6" spans="1:6" x14ac:dyDescent="0.35">
      <c r="A6" s="7" t="s">
        <v>146</v>
      </c>
      <c r="B6" s="7" t="s">
        <v>147</v>
      </c>
      <c r="C6" s="7" t="s">
        <v>181</v>
      </c>
      <c r="D6" s="7" t="s">
        <v>139</v>
      </c>
      <c r="E6" s="7">
        <v>6000</v>
      </c>
      <c r="F6" s="7" t="s">
        <v>39</v>
      </c>
    </row>
    <row r="7" spans="1:6" x14ac:dyDescent="0.35">
      <c r="A7" s="7" t="s">
        <v>148</v>
      </c>
      <c r="B7" s="7" t="s">
        <v>149</v>
      </c>
      <c r="C7" s="7" t="s">
        <v>181</v>
      </c>
      <c r="D7" s="7" t="s">
        <v>139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150</v>
      </c>
      <c r="B2" s="7" t="s">
        <v>151</v>
      </c>
      <c r="C2" s="7" t="s">
        <v>182</v>
      </c>
      <c r="D2" s="7" t="s">
        <v>152</v>
      </c>
      <c r="E2" s="7" t="s">
        <v>153</v>
      </c>
      <c r="F2" s="7" t="s">
        <v>39</v>
      </c>
    </row>
    <row r="3" spans="1:6" x14ac:dyDescent="0.35">
      <c r="A3" s="7" t="s">
        <v>56</v>
      </c>
      <c r="B3" s="7" t="s">
        <v>154</v>
      </c>
      <c r="C3" s="7" t="s">
        <v>182</v>
      </c>
      <c r="D3" s="7" t="s">
        <v>152</v>
      </c>
      <c r="E3" s="7" t="s">
        <v>66</v>
      </c>
      <c r="F3" s="7" t="s">
        <v>39</v>
      </c>
    </row>
    <row r="4" spans="1:6" x14ac:dyDescent="0.35">
      <c r="A4" s="7" t="s">
        <v>155</v>
      </c>
      <c r="B4" s="7" t="s">
        <v>156</v>
      </c>
      <c r="C4" s="7" t="s">
        <v>41</v>
      </c>
      <c r="D4" s="7" t="s">
        <v>152</v>
      </c>
      <c r="E4" s="8">
        <v>45870</v>
      </c>
      <c r="F4" s="7" t="s">
        <v>39</v>
      </c>
    </row>
    <row r="5" spans="1:6" x14ac:dyDescent="0.35">
      <c r="A5" s="7" t="s">
        <v>157</v>
      </c>
      <c r="B5" s="7" t="s">
        <v>158</v>
      </c>
      <c r="C5" s="7" t="s">
        <v>181</v>
      </c>
      <c r="D5" s="7" t="s">
        <v>152</v>
      </c>
      <c r="E5" s="7">
        <v>31500</v>
      </c>
      <c r="F5" s="7" t="s">
        <v>45</v>
      </c>
    </row>
    <row r="6" spans="1:6" x14ac:dyDescent="0.35">
      <c r="A6" s="7" t="s">
        <v>159</v>
      </c>
      <c r="B6" s="7" t="s">
        <v>160</v>
      </c>
      <c r="C6" s="7" t="s">
        <v>182</v>
      </c>
      <c r="D6" s="7" t="s">
        <v>152</v>
      </c>
      <c r="E6" s="7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110</v>
      </c>
      <c r="E1" s="5" t="s">
        <v>35</v>
      </c>
    </row>
    <row r="2" spans="1:6" x14ac:dyDescent="0.35">
      <c r="A2" s="7" t="s">
        <v>162</v>
      </c>
      <c r="B2" s="7" t="s">
        <v>163</v>
      </c>
      <c r="C2" s="7" t="s">
        <v>41</v>
      </c>
      <c r="D2" s="7" t="s">
        <v>164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165</v>
      </c>
      <c r="C3" s="7" t="s">
        <v>37</v>
      </c>
      <c r="D3" s="7" t="s">
        <v>164</v>
      </c>
      <c r="E3" s="7" t="s">
        <v>66</v>
      </c>
      <c r="F3" s="2" t="s">
        <v>39</v>
      </c>
    </row>
    <row r="4" spans="1:6" x14ac:dyDescent="0.35">
      <c r="A4" s="7" t="s">
        <v>166</v>
      </c>
      <c r="B4" s="7" t="s">
        <v>167</v>
      </c>
      <c r="C4" s="7" t="s">
        <v>49</v>
      </c>
      <c r="D4" s="7" t="s">
        <v>164</v>
      </c>
      <c r="E4" s="7">
        <v>275000</v>
      </c>
      <c r="F4" s="2" t="s">
        <v>45</v>
      </c>
    </row>
    <row r="5" spans="1:6" x14ac:dyDescent="0.35">
      <c r="A5" s="7" t="s">
        <v>168</v>
      </c>
      <c r="B5" s="7" t="s">
        <v>169</v>
      </c>
      <c r="C5" s="7" t="s">
        <v>49</v>
      </c>
      <c r="D5" s="7" t="s">
        <v>164</v>
      </c>
      <c r="E5" s="7">
        <v>6000</v>
      </c>
      <c r="F5" s="2" t="s">
        <v>39</v>
      </c>
    </row>
    <row r="6" spans="1:6" x14ac:dyDescent="0.35">
      <c r="A6" s="7" t="s">
        <v>170</v>
      </c>
      <c r="B6" s="7" t="s">
        <v>171</v>
      </c>
      <c r="C6" s="7" t="s">
        <v>44</v>
      </c>
      <c r="D6" s="7" t="s">
        <v>164</v>
      </c>
      <c r="E6" s="7">
        <v>15</v>
      </c>
      <c r="F6" s="2" t="s">
        <v>39</v>
      </c>
    </row>
    <row r="7" spans="1:6" x14ac:dyDescent="0.35">
      <c r="A7" s="7" t="s">
        <v>172</v>
      </c>
      <c r="B7" s="7" t="s">
        <v>173</v>
      </c>
      <c r="C7" s="7" t="s">
        <v>122</v>
      </c>
      <c r="D7" s="7" t="s">
        <v>164</v>
      </c>
      <c r="E7" s="7" t="s">
        <v>174</v>
      </c>
      <c r="F7" s="2" t="s">
        <v>39</v>
      </c>
    </row>
    <row r="8" spans="1:6" x14ac:dyDescent="0.35">
      <c r="A8" s="7" t="s">
        <v>175</v>
      </c>
      <c r="B8" s="7" t="s">
        <v>176</v>
      </c>
      <c r="C8" s="7" t="s">
        <v>122</v>
      </c>
      <c r="D8" s="7" t="s">
        <v>164</v>
      </c>
      <c r="E8" s="7" t="s">
        <v>177</v>
      </c>
      <c r="F8" s="2" t="s">
        <v>39</v>
      </c>
    </row>
    <row r="9" spans="1:6" x14ac:dyDescent="0.35">
      <c r="A9" s="7" t="s">
        <v>178</v>
      </c>
      <c r="B9" s="7" t="s">
        <v>179</v>
      </c>
      <c r="C9" s="7" t="s">
        <v>125</v>
      </c>
      <c r="D9" s="7" t="s">
        <v>164</v>
      </c>
      <c r="E9" s="7">
        <v>0</v>
      </c>
      <c r="F9" s="2" t="s">
        <v>39</v>
      </c>
    </row>
    <row r="12" spans="1:6" ht="23.5" x14ac:dyDescent="0.35">
      <c r="A12" s="4"/>
      <c r="B12" s="7" t="s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H9" sqref="H9"/>
    </sheetView>
  </sheetViews>
  <sheetFormatPr defaultRowHeight="14.5" x14ac:dyDescent="0.35"/>
  <cols>
    <col min="1" max="1" width="11.26953125" style="6" bestFit="1" customWidth="1"/>
    <col min="2" max="2" width="17.90625" style="6" bestFit="1" customWidth="1"/>
    <col min="5" max="5" width="16.26953125" style="6" bestFit="1" customWidth="1"/>
    <col min="6" max="6" width="15" style="22" bestFit="1" customWidth="1"/>
    <col min="7" max="7" width="17.7265625" style="6" bestFit="1" customWidth="1"/>
    <col min="8" max="8" width="19" style="6" bestFit="1" customWidth="1"/>
    <col min="9" max="9" width="11.08984375" style="6" bestFit="1" customWidth="1"/>
  </cols>
  <sheetData>
    <row r="1" spans="1:9" x14ac:dyDescent="0.35">
      <c r="A1" s="5" t="s">
        <v>6</v>
      </c>
      <c r="B1" s="5" t="s">
        <v>227</v>
      </c>
      <c r="C1" s="1" t="s">
        <v>1</v>
      </c>
      <c r="D1" s="1" t="s">
        <v>2</v>
      </c>
      <c r="E1" s="5" t="s">
        <v>3</v>
      </c>
      <c r="F1" s="21" t="s">
        <v>4</v>
      </c>
      <c r="G1" s="5" t="s">
        <v>5</v>
      </c>
      <c r="H1" s="5" t="s">
        <v>51</v>
      </c>
      <c r="I1" s="5" t="s">
        <v>0</v>
      </c>
    </row>
    <row r="2" spans="1:9" x14ac:dyDescent="0.35">
      <c r="A2" s="7" t="s">
        <v>7</v>
      </c>
      <c r="B2" s="8" t="s">
        <v>228</v>
      </c>
      <c r="C2" s="2" t="s">
        <v>16</v>
      </c>
      <c r="D2" s="2">
        <v>32</v>
      </c>
      <c r="E2" s="7" t="s">
        <v>23</v>
      </c>
      <c r="F2" s="20">
        <v>250000</v>
      </c>
      <c r="G2" s="7" t="s">
        <v>25</v>
      </c>
      <c r="H2" s="7">
        <v>18</v>
      </c>
      <c r="I2" s="8">
        <v>46025</v>
      </c>
    </row>
    <row r="3" spans="1:9" x14ac:dyDescent="0.35">
      <c r="A3" s="7" t="s">
        <v>8</v>
      </c>
      <c r="B3" s="8" t="s">
        <v>229</v>
      </c>
      <c r="C3" s="2" t="s">
        <v>17</v>
      </c>
      <c r="D3" s="2">
        <v>27</v>
      </c>
      <c r="E3" s="7" t="s">
        <v>22</v>
      </c>
      <c r="F3" s="20">
        <v>180000</v>
      </c>
      <c r="G3" s="7" t="s">
        <v>26</v>
      </c>
      <c r="H3" s="7">
        <v>17</v>
      </c>
      <c r="I3" s="8">
        <v>46025</v>
      </c>
    </row>
    <row r="4" spans="1:9" x14ac:dyDescent="0.35">
      <c r="A4" s="7" t="s">
        <v>9</v>
      </c>
      <c r="B4" s="8" t="s">
        <v>230</v>
      </c>
      <c r="C4" s="2" t="s">
        <v>18</v>
      </c>
      <c r="D4" s="2">
        <v>41</v>
      </c>
      <c r="E4" s="7" t="s">
        <v>85</v>
      </c>
      <c r="F4" s="20">
        <v>520000</v>
      </c>
      <c r="G4" s="7" t="s">
        <v>25</v>
      </c>
      <c r="H4" s="7">
        <v>16</v>
      </c>
      <c r="I4" s="8">
        <v>46055</v>
      </c>
    </row>
    <row r="5" spans="1:9" x14ac:dyDescent="0.35">
      <c r="A5" s="7" t="s">
        <v>10</v>
      </c>
      <c r="B5" s="8" t="s">
        <v>231</v>
      </c>
      <c r="C5" s="2" t="s">
        <v>19</v>
      </c>
      <c r="D5" s="2">
        <v>36</v>
      </c>
      <c r="E5" s="7" t="s">
        <v>47</v>
      </c>
      <c r="F5" s="20">
        <v>320000</v>
      </c>
      <c r="G5" s="7" t="s">
        <v>25</v>
      </c>
      <c r="H5" s="7">
        <v>15</v>
      </c>
      <c r="I5" s="8">
        <v>46054</v>
      </c>
    </row>
    <row r="6" spans="1:9" x14ac:dyDescent="0.35">
      <c r="A6" s="7" t="s">
        <v>11</v>
      </c>
      <c r="B6" s="8" t="s">
        <v>232</v>
      </c>
      <c r="C6" s="2" t="s">
        <v>20</v>
      </c>
      <c r="D6" s="2">
        <v>29</v>
      </c>
      <c r="E6" s="7" t="s">
        <v>24</v>
      </c>
      <c r="F6" s="20">
        <v>150000</v>
      </c>
      <c r="G6" s="7" t="s">
        <v>27</v>
      </c>
      <c r="H6" s="7">
        <v>14</v>
      </c>
      <c r="I6" s="8">
        <v>45728</v>
      </c>
    </row>
    <row r="7" spans="1:9" x14ac:dyDescent="0.35">
      <c r="A7" s="7" t="s">
        <v>12</v>
      </c>
      <c r="B7" s="8" t="s">
        <v>233</v>
      </c>
      <c r="C7" s="2" t="s">
        <v>21</v>
      </c>
      <c r="D7" s="2">
        <v>38</v>
      </c>
      <c r="E7" s="7" t="s">
        <v>85</v>
      </c>
      <c r="F7" s="20">
        <v>470000</v>
      </c>
      <c r="G7" s="7" t="s">
        <v>26</v>
      </c>
      <c r="H7" s="7">
        <v>13</v>
      </c>
      <c r="I7" s="8">
        <v>45759</v>
      </c>
    </row>
    <row r="8" spans="1:9" x14ac:dyDescent="0.35">
      <c r="A8" s="7" t="s">
        <v>13</v>
      </c>
      <c r="B8" s="8" t="s">
        <v>234</v>
      </c>
      <c r="C8" s="2" t="s">
        <v>86</v>
      </c>
      <c r="D8" s="2">
        <v>24</v>
      </c>
      <c r="E8" s="7" t="s">
        <v>23</v>
      </c>
      <c r="F8" s="20">
        <v>170000</v>
      </c>
      <c r="G8" s="7" t="s">
        <v>25</v>
      </c>
      <c r="H8" s="7">
        <v>12</v>
      </c>
      <c r="I8" s="8">
        <v>45787</v>
      </c>
    </row>
    <row r="9" spans="1:9" x14ac:dyDescent="0.35">
      <c r="A9" s="7" t="s">
        <v>14</v>
      </c>
      <c r="B9" s="8" t="s">
        <v>235</v>
      </c>
      <c r="C9" s="2" t="s">
        <v>87</v>
      </c>
      <c r="D9" s="2">
        <v>45</v>
      </c>
      <c r="E9" s="7" t="s">
        <v>88</v>
      </c>
      <c r="F9" s="20">
        <v>600000</v>
      </c>
      <c r="G9" s="7" t="s">
        <v>26</v>
      </c>
      <c r="H9" s="7">
        <v>11</v>
      </c>
      <c r="I9" s="8">
        <v>45785</v>
      </c>
    </row>
    <row r="10" spans="1:9" x14ac:dyDescent="0.35">
      <c r="A10" s="7" t="s">
        <v>15</v>
      </c>
      <c r="B10" s="8" t="s">
        <v>236</v>
      </c>
      <c r="C10" s="2" t="s">
        <v>89</v>
      </c>
      <c r="D10" s="2">
        <v>30</v>
      </c>
      <c r="E10" s="7" t="s">
        <v>22</v>
      </c>
      <c r="F10" s="20">
        <v>210000</v>
      </c>
      <c r="G10" s="7" t="s">
        <v>26</v>
      </c>
      <c r="H10" s="7">
        <v>10</v>
      </c>
      <c r="I10" s="8">
        <v>45813</v>
      </c>
    </row>
    <row r="11" spans="1:9" x14ac:dyDescent="0.35">
      <c r="A11" s="7" t="s">
        <v>84</v>
      </c>
      <c r="B11" s="6" t="s">
        <v>237</v>
      </c>
      <c r="C11" s="2" t="s">
        <v>109</v>
      </c>
      <c r="D11" s="2">
        <v>34</v>
      </c>
      <c r="E11" s="7" t="s">
        <v>23</v>
      </c>
      <c r="F11" s="20">
        <v>390000</v>
      </c>
      <c r="G11" s="7" t="s">
        <v>25</v>
      </c>
      <c r="H11" s="7">
        <v>9</v>
      </c>
      <c r="I11" s="6" t="s">
        <v>183</v>
      </c>
    </row>
    <row r="12" spans="1:9" x14ac:dyDescent="0.35">
      <c r="A12" s="7" t="s">
        <v>201</v>
      </c>
      <c r="B12" s="8" t="s">
        <v>238</v>
      </c>
      <c r="C12" s="2" t="s">
        <v>224</v>
      </c>
      <c r="D12" s="2">
        <v>32</v>
      </c>
      <c r="E12" s="7" t="s">
        <v>23</v>
      </c>
      <c r="F12" s="20">
        <v>250000</v>
      </c>
      <c r="G12" s="7" t="s">
        <v>25</v>
      </c>
      <c r="H12" s="7">
        <v>18</v>
      </c>
      <c r="I12" s="8">
        <v>46025</v>
      </c>
    </row>
    <row r="13" spans="1:9" x14ac:dyDescent="0.35">
      <c r="A13" s="7" t="s">
        <v>202</v>
      </c>
      <c r="B13" s="8" t="s">
        <v>239</v>
      </c>
      <c r="C13" s="2" t="s">
        <v>225</v>
      </c>
      <c r="D13" s="2">
        <v>27</v>
      </c>
      <c r="E13" s="7" t="s">
        <v>22</v>
      </c>
      <c r="F13" s="20">
        <v>180000</v>
      </c>
      <c r="G13" s="7" t="s">
        <v>26</v>
      </c>
      <c r="H13" s="7">
        <v>17</v>
      </c>
      <c r="I13" s="8">
        <v>46025</v>
      </c>
    </row>
    <row r="14" spans="1:9" x14ac:dyDescent="0.35">
      <c r="A14" s="7" t="s">
        <v>203</v>
      </c>
      <c r="B14" s="8" t="s">
        <v>240</v>
      </c>
      <c r="C14" s="2" t="s">
        <v>18</v>
      </c>
      <c r="D14" s="2">
        <v>41</v>
      </c>
      <c r="E14" s="7" t="s">
        <v>85</v>
      </c>
      <c r="F14" s="20">
        <v>520000</v>
      </c>
      <c r="G14" s="7" t="s">
        <v>25</v>
      </c>
      <c r="H14" s="7">
        <v>16</v>
      </c>
      <c r="I14" s="8">
        <v>46055</v>
      </c>
    </row>
    <row r="15" spans="1:9" x14ac:dyDescent="0.35">
      <c r="A15" s="7" t="s">
        <v>204</v>
      </c>
      <c r="B15" s="8" t="s">
        <v>241</v>
      </c>
      <c r="C15" s="2" t="s">
        <v>87</v>
      </c>
      <c r="D15" s="2">
        <v>36</v>
      </c>
      <c r="E15" s="7" t="s">
        <v>23</v>
      </c>
      <c r="F15" s="20">
        <v>320000</v>
      </c>
      <c r="G15" s="7" t="s">
        <v>25</v>
      </c>
      <c r="H15" s="7">
        <v>15</v>
      </c>
      <c r="I15" s="8">
        <v>46054</v>
      </c>
    </row>
    <row r="16" spans="1:9" x14ac:dyDescent="0.35">
      <c r="A16" s="7" t="s">
        <v>205</v>
      </c>
      <c r="B16" s="8" t="s">
        <v>242</v>
      </c>
      <c r="C16" s="2" t="s">
        <v>226</v>
      </c>
      <c r="D16" s="2">
        <v>29</v>
      </c>
      <c r="E16" s="7" t="s">
        <v>24</v>
      </c>
      <c r="F16" s="20">
        <v>150000</v>
      </c>
      <c r="G16" s="7" t="s">
        <v>27</v>
      </c>
      <c r="H16" s="7">
        <v>14</v>
      </c>
      <c r="I16" s="8">
        <v>45728</v>
      </c>
    </row>
    <row r="17" spans="1:9" x14ac:dyDescent="0.35">
      <c r="A17" s="7" t="s">
        <v>206</v>
      </c>
      <c r="B17" s="8" t="s">
        <v>243</v>
      </c>
      <c r="C17" s="2" t="s">
        <v>21</v>
      </c>
      <c r="D17" s="2">
        <v>38</v>
      </c>
      <c r="E17" s="7" t="s">
        <v>85</v>
      </c>
      <c r="F17" s="20">
        <v>470000</v>
      </c>
      <c r="G17" s="7" t="s">
        <v>26</v>
      </c>
      <c r="H17" s="7">
        <v>13</v>
      </c>
      <c r="I17" s="8">
        <v>45759</v>
      </c>
    </row>
    <row r="18" spans="1:9" x14ac:dyDescent="0.35">
      <c r="A18" s="7" t="s">
        <v>207</v>
      </c>
      <c r="B18" s="8" t="s">
        <v>244</v>
      </c>
      <c r="C18" s="2" t="s">
        <v>86</v>
      </c>
      <c r="D18" s="2">
        <v>24</v>
      </c>
      <c r="E18" s="7" t="s">
        <v>23</v>
      </c>
      <c r="F18" s="20">
        <v>170000</v>
      </c>
      <c r="G18" s="7" t="s">
        <v>25</v>
      </c>
      <c r="H18" s="7">
        <v>12</v>
      </c>
      <c r="I18" s="8">
        <v>45787</v>
      </c>
    </row>
    <row r="19" spans="1:9" x14ac:dyDescent="0.35">
      <c r="A19" s="7" t="s">
        <v>208</v>
      </c>
      <c r="B19" s="8" t="s">
        <v>245</v>
      </c>
      <c r="C19" s="2" t="s">
        <v>87</v>
      </c>
      <c r="D19" s="2">
        <v>45</v>
      </c>
      <c r="E19" s="7" t="s">
        <v>88</v>
      </c>
      <c r="F19" s="20">
        <v>600000</v>
      </c>
      <c r="G19" s="7" t="s">
        <v>26</v>
      </c>
      <c r="H19" s="7">
        <v>11</v>
      </c>
      <c r="I19" s="8">
        <v>45785</v>
      </c>
    </row>
    <row r="20" spans="1:9" x14ac:dyDescent="0.35">
      <c r="A20" s="7" t="s">
        <v>209</v>
      </c>
      <c r="B20" s="8" t="s">
        <v>246</v>
      </c>
      <c r="C20" s="2" t="s">
        <v>89</v>
      </c>
      <c r="D20" s="2">
        <v>30</v>
      </c>
      <c r="E20" s="7" t="s">
        <v>23</v>
      </c>
      <c r="F20" s="20">
        <v>210000</v>
      </c>
      <c r="G20" s="7" t="s">
        <v>26</v>
      </c>
      <c r="H20" s="7">
        <v>10</v>
      </c>
      <c r="I20" s="8">
        <v>45813</v>
      </c>
    </row>
    <row r="21" spans="1:9" x14ac:dyDescent="0.35">
      <c r="A21" s="7" t="s">
        <v>210</v>
      </c>
      <c r="B21" s="6" t="s">
        <v>247</v>
      </c>
      <c r="C21" s="2" t="s">
        <v>109</v>
      </c>
      <c r="D21" s="2">
        <v>34</v>
      </c>
      <c r="E21" s="7" t="s">
        <v>23</v>
      </c>
      <c r="F21" s="20">
        <v>390000</v>
      </c>
      <c r="G21" s="7" t="s">
        <v>25</v>
      </c>
      <c r="H21" s="7">
        <v>9</v>
      </c>
      <c r="I21" s="6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K22" sqref="K22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8.453125" style="19" bestFit="1" customWidth="1"/>
    <col min="6" max="6" width="12.36328125" style="6" bestFit="1" customWidth="1"/>
    <col min="7" max="7" width="12.26953125" style="6" bestFit="1" customWidth="1"/>
    <col min="8" max="8" width="20.7265625" style="22" bestFit="1" customWidth="1"/>
    <col min="9" max="9" width="19" style="22" bestFit="1" customWidth="1"/>
    <col min="10" max="10" width="9" style="6" bestFit="1" customWidth="1"/>
    <col min="11" max="11" width="12.36328125" style="6" bestFit="1" customWidth="1"/>
  </cols>
  <sheetData>
    <row r="1" spans="1:11" x14ac:dyDescent="0.35">
      <c r="A1" s="5" t="s">
        <v>57</v>
      </c>
      <c r="B1" s="5" t="s">
        <v>6</v>
      </c>
      <c r="C1" s="5" t="s">
        <v>90</v>
      </c>
      <c r="D1" s="5" t="s">
        <v>28</v>
      </c>
      <c r="E1" s="21" t="s">
        <v>29</v>
      </c>
      <c r="F1" s="5" t="s">
        <v>62</v>
      </c>
      <c r="G1" s="5" t="s">
        <v>91</v>
      </c>
      <c r="H1" s="21" t="s">
        <v>92</v>
      </c>
      <c r="I1" s="21" t="s">
        <v>93</v>
      </c>
      <c r="J1" s="5" t="s">
        <v>94</v>
      </c>
      <c r="K1" s="5" t="s">
        <v>96</v>
      </c>
    </row>
    <row r="2" spans="1:11" x14ac:dyDescent="0.35">
      <c r="A2" s="2" t="s">
        <v>67</v>
      </c>
      <c r="B2" s="7" t="s">
        <v>7</v>
      </c>
      <c r="C2" s="8">
        <v>45810</v>
      </c>
      <c r="D2" s="7" t="s">
        <v>97</v>
      </c>
      <c r="E2" s="18">
        <v>300000</v>
      </c>
      <c r="F2" s="7">
        <v>3</v>
      </c>
      <c r="G2" s="7">
        <v>725</v>
      </c>
      <c r="H2" s="20">
        <v>20000</v>
      </c>
      <c r="I2" s="20">
        <v>29500</v>
      </c>
      <c r="J2" s="7" t="s">
        <v>98</v>
      </c>
      <c r="K2" s="7">
        <v>1</v>
      </c>
    </row>
    <row r="3" spans="1:11" x14ac:dyDescent="0.35">
      <c r="A3" s="2" t="s">
        <v>71</v>
      </c>
      <c r="B3" s="7" t="s">
        <v>8</v>
      </c>
      <c r="C3" s="8">
        <v>45811</v>
      </c>
      <c r="D3" s="7" t="s">
        <v>99</v>
      </c>
      <c r="E3" s="18">
        <v>100000</v>
      </c>
      <c r="F3" s="7">
        <v>3</v>
      </c>
      <c r="G3" s="7">
        <v>650</v>
      </c>
      <c r="H3" s="20">
        <v>15000</v>
      </c>
      <c r="I3" s="20">
        <v>18500</v>
      </c>
      <c r="J3" s="7" t="s">
        <v>98</v>
      </c>
      <c r="K3" s="7">
        <v>1</v>
      </c>
    </row>
    <row r="4" spans="1:11" x14ac:dyDescent="0.35">
      <c r="A4" s="2" t="s">
        <v>73</v>
      </c>
      <c r="B4" s="7" t="s">
        <v>9</v>
      </c>
      <c r="C4" s="8">
        <v>45812</v>
      </c>
      <c r="D4" s="7" t="s">
        <v>97</v>
      </c>
      <c r="E4" s="18">
        <v>500000</v>
      </c>
      <c r="F4" s="7">
        <v>3</v>
      </c>
      <c r="G4" s="7">
        <v>780</v>
      </c>
      <c r="H4" s="20">
        <v>30000</v>
      </c>
      <c r="I4" s="20">
        <v>37000</v>
      </c>
      <c r="J4" s="7" t="s">
        <v>98</v>
      </c>
      <c r="K4" s="7">
        <v>1</v>
      </c>
    </row>
    <row r="5" spans="1:11" x14ac:dyDescent="0.35">
      <c r="A5" s="2" t="s">
        <v>100</v>
      </c>
      <c r="B5" s="7" t="s">
        <v>10</v>
      </c>
      <c r="C5" s="8">
        <v>45813</v>
      </c>
      <c r="D5" s="7" t="s">
        <v>101</v>
      </c>
      <c r="E5" s="18">
        <v>600000</v>
      </c>
      <c r="F5" s="7">
        <v>3</v>
      </c>
      <c r="G5" s="7">
        <v>590</v>
      </c>
      <c r="H5" s="20">
        <v>45000</v>
      </c>
      <c r="I5" s="20">
        <v>43000</v>
      </c>
      <c r="J5" s="7" t="s">
        <v>98</v>
      </c>
      <c r="K5" s="7">
        <v>0</v>
      </c>
    </row>
    <row r="6" spans="1:11" x14ac:dyDescent="0.35">
      <c r="A6" s="2" t="s">
        <v>103</v>
      </c>
      <c r="B6" s="7" t="s">
        <v>11</v>
      </c>
      <c r="C6" s="8">
        <v>45814</v>
      </c>
      <c r="D6" s="7" t="s">
        <v>99</v>
      </c>
      <c r="E6" s="18">
        <v>80000</v>
      </c>
      <c r="F6" s="7">
        <v>3</v>
      </c>
      <c r="G6" s="7">
        <v>520</v>
      </c>
      <c r="H6" s="20">
        <v>22000</v>
      </c>
      <c r="I6" s="20">
        <v>28500</v>
      </c>
      <c r="J6" s="7" t="s">
        <v>98</v>
      </c>
      <c r="K6" s="7">
        <v>0</v>
      </c>
    </row>
    <row r="7" spans="1:11" x14ac:dyDescent="0.35">
      <c r="A7" s="2" t="s">
        <v>75</v>
      </c>
      <c r="B7" s="7" t="s">
        <v>12</v>
      </c>
      <c r="C7" s="8">
        <v>45815</v>
      </c>
      <c r="D7" s="7" t="s">
        <v>101</v>
      </c>
      <c r="E7" s="18">
        <v>700000</v>
      </c>
      <c r="F7" s="7">
        <v>3</v>
      </c>
      <c r="G7" s="7">
        <v>735</v>
      </c>
      <c r="H7" s="20">
        <v>35000</v>
      </c>
      <c r="I7" s="20">
        <v>47000</v>
      </c>
      <c r="J7" s="7" t="s">
        <v>98</v>
      </c>
      <c r="K7" s="7">
        <v>1</v>
      </c>
    </row>
    <row r="8" spans="1:11" x14ac:dyDescent="0.35">
      <c r="A8" s="2" t="s">
        <v>77</v>
      </c>
      <c r="B8" s="7" t="s">
        <v>13</v>
      </c>
      <c r="C8" s="8">
        <v>45816</v>
      </c>
      <c r="D8" s="7" t="s">
        <v>97</v>
      </c>
      <c r="E8" s="18">
        <v>200000</v>
      </c>
      <c r="F8" s="7">
        <v>3</v>
      </c>
      <c r="G8" s="7">
        <v>680</v>
      </c>
      <c r="H8" s="20">
        <v>12000</v>
      </c>
      <c r="I8" s="20">
        <v>21000</v>
      </c>
      <c r="J8" s="7" t="s">
        <v>98</v>
      </c>
      <c r="K8" s="7">
        <v>1</v>
      </c>
    </row>
    <row r="9" spans="1:11" x14ac:dyDescent="0.35">
      <c r="A9" s="2" t="s">
        <v>79</v>
      </c>
      <c r="B9" s="7" t="s">
        <v>14</v>
      </c>
      <c r="C9" s="8">
        <v>45817</v>
      </c>
      <c r="D9" s="7" t="s">
        <v>101</v>
      </c>
      <c r="E9" s="18">
        <v>1000000</v>
      </c>
      <c r="F9" s="7">
        <v>3</v>
      </c>
      <c r="G9" s="7">
        <v>760</v>
      </c>
      <c r="H9" s="20">
        <v>60000</v>
      </c>
      <c r="I9" s="20">
        <v>52000</v>
      </c>
      <c r="J9" s="7" t="s">
        <v>98</v>
      </c>
      <c r="K9" s="7">
        <v>1</v>
      </c>
    </row>
    <row r="10" spans="1:11" x14ac:dyDescent="0.35">
      <c r="A10" s="2" t="s">
        <v>81</v>
      </c>
      <c r="B10" s="7" t="s">
        <v>15</v>
      </c>
      <c r="C10" s="8">
        <v>45818</v>
      </c>
      <c r="D10" s="7" t="s">
        <v>99</v>
      </c>
      <c r="E10" s="18">
        <v>120000</v>
      </c>
      <c r="F10" s="7">
        <v>3</v>
      </c>
      <c r="G10" s="7">
        <v>605</v>
      </c>
      <c r="H10" s="20">
        <v>18000</v>
      </c>
      <c r="I10" s="20">
        <v>21000</v>
      </c>
      <c r="J10" s="7" t="s">
        <v>98</v>
      </c>
      <c r="K10" s="7">
        <v>1</v>
      </c>
    </row>
    <row r="11" spans="1:11" x14ac:dyDescent="0.35">
      <c r="A11" s="2" t="s">
        <v>83</v>
      </c>
      <c r="B11" s="7" t="s">
        <v>84</v>
      </c>
      <c r="C11" s="8">
        <v>45819</v>
      </c>
      <c r="D11" s="7" t="s">
        <v>97</v>
      </c>
      <c r="E11" s="18">
        <v>350000</v>
      </c>
      <c r="F11" s="7">
        <v>3</v>
      </c>
      <c r="G11" s="7">
        <v>745</v>
      </c>
      <c r="H11" s="20">
        <v>20000</v>
      </c>
      <c r="I11" s="20">
        <v>33000</v>
      </c>
      <c r="J11" s="7" t="s">
        <v>98</v>
      </c>
      <c r="K11" s="7">
        <v>1</v>
      </c>
    </row>
    <row r="12" spans="1:11" x14ac:dyDescent="0.35">
      <c r="A12" s="2" t="s">
        <v>104</v>
      </c>
      <c r="B12" s="7" t="s">
        <v>201</v>
      </c>
      <c r="C12" s="8">
        <v>45820</v>
      </c>
      <c r="D12" s="7" t="s">
        <v>99</v>
      </c>
      <c r="E12" s="18">
        <v>120000</v>
      </c>
      <c r="F12" s="7">
        <v>3</v>
      </c>
      <c r="G12" s="7">
        <v>730</v>
      </c>
      <c r="H12" s="20">
        <v>15000</v>
      </c>
      <c r="I12" s="20">
        <v>22000</v>
      </c>
      <c r="J12" s="7" t="s">
        <v>98</v>
      </c>
      <c r="K12" s="7">
        <v>1</v>
      </c>
    </row>
    <row r="13" spans="1:11" x14ac:dyDescent="0.35">
      <c r="A13" s="2" t="s">
        <v>105</v>
      </c>
      <c r="B13" s="7" t="s">
        <v>202</v>
      </c>
      <c r="C13" s="8">
        <v>45821</v>
      </c>
      <c r="D13" s="7" t="s">
        <v>101</v>
      </c>
      <c r="E13" s="18">
        <v>900000</v>
      </c>
      <c r="F13" s="7">
        <v>3</v>
      </c>
      <c r="G13" s="7">
        <v>790</v>
      </c>
      <c r="H13" s="20">
        <v>40000</v>
      </c>
      <c r="I13" s="20">
        <v>61000</v>
      </c>
      <c r="J13" s="7" t="s">
        <v>98</v>
      </c>
      <c r="K13" s="7">
        <v>1</v>
      </c>
    </row>
    <row r="14" spans="1:11" x14ac:dyDescent="0.35">
      <c r="A14" s="2" t="s">
        <v>106</v>
      </c>
      <c r="B14" s="7" t="s">
        <v>203</v>
      </c>
      <c r="C14" s="8">
        <v>45822</v>
      </c>
      <c r="D14" s="7" t="s">
        <v>97</v>
      </c>
      <c r="E14" s="18">
        <v>250000</v>
      </c>
      <c r="F14" s="7">
        <v>3</v>
      </c>
      <c r="G14" s="7">
        <v>540</v>
      </c>
      <c r="H14" s="20">
        <v>25000</v>
      </c>
      <c r="I14" s="20">
        <v>26000</v>
      </c>
      <c r="J14" s="7" t="s">
        <v>98</v>
      </c>
      <c r="K14" s="7">
        <v>0</v>
      </c>
    </row>
    <row r="15" spans="1:11" x14ac:dyDescent="0.35">
      <c r="A15" s="2" t="s">
        <v>107</v>
      </c>
      <c r="B15" s="7" t="s">
        <v>204</v>
      </c>
      <c r="C15" s="8">
        <v>45823</v>
      </c>
      <c r="D15" s="7" t="s">
        <v>99</v>
      </c>
      <c r="E15" s="18">
        <v>150000</v>
      </c>
      <c r="F15" s="7">
        <v>3</v>
      </c>
      <c r="G15" s="7">
        <v>770</v>
      </c>
      <c r="H15" s="20">
        <v>18000</v>
      </c>
      <c r="I15" s="20">
        <v>24000</v>
      </c>
      <c r="J15" s="7" t="s">
        <v>98</v>
      </c>
      <c r="K15" s="7">
        <v>1</v>
      </c>
    </row>
    <row r="16" spans="1:11" x14ac:dyDescent="0.35">
      <c r="A16" s="2" t="s">
        <v>108</v>
      </c>
      <c r="B16" s="7" t="s">
        <v>205</v>
      </c>
      <c r="C16" s="8">
        <v>45824</v>
      </c>
      <c r="D16" s="7" t="s">
        <v>97</v>
      </c>
      <c r="E16" s="18">
        <v>300000</v>
      </c>
      <c r="F16" s="7">
        <v>3</v>
      </c>
      <c r="G16" s="7">
        <v>610</v>
      </c>
      <c r="H16" s="20">
        <v>28000</v>
      </c>
      <c r="I16" s="20">
        <v>31000</v>
      </c>
      <c r="J16" s="7" t="s">
        <v>98</v>
      </c>
      <c r="K16" s="7">
        <v>0</v>
      </c>
    </row>
    <row r="17" spans="1:11" x14ac:dyDescent="0.35">
      <c r="A17" s="2" t="s">
        <v>196</v>
      </c>
      <c r="B17" s="7" t="s">
        <v>206</v>
      </c>
      <c r="C17" s="8">
        <v>45825</v>
      </c>
      <c r="D17" s="7" t="s">
        <v>101</v>
      </c>
      <c r="E17" s="19">
        <v>240000</v>
      </c>
      <c r="F17" s="7">
        <v>3</v>
      </c>
      <c r="G17" s="7">
        <v>450</v>
      </c>
      <c r="H17" s="22">
        <v>15000</v>
      </c>
      <c r="I17" s="22">
        <v>55000</v>
      </c>
      <c r="J17" s="7" t="s">
        <v>98</v>
      </c>
      <c r="K17" s="7">
        <v>1</v>
      </c>
    </row>
    <row r="18" spans="1:11" x14ac:dyDescent="0.35">
      <c r="A18" s="2" t="s">
        <v>197</v>
      </c>
      <c r="B18" s="7" t="s">
        <v>207</v>
      </c>
      <c r="C18" s="8">
        <v>45826</v>
      </c>
      <c r="D18" s="7" t="s">
        <v>97</v>
      </c>
      <c r="E18" s="19">
        <v>150000</v>
      </c>
      <c r="F18" s="7">
        <v>3</v>
      </c>
      <c r="G18" s="7">
        <v>500</v>
      </c>
      <c r="H18" s="22">
        <v>35000</v>
      </c>
      <c r="I18" s="22">
        <v>24000</v>
      </c>
      <c r="J18" s="7" t="s">
        <v>98</v>
      </c>
      <c r="K18" s="7">
        <v>1</v>
      </c>
    </row>
    <row r="19" spans="1:11" x14ac:dyDescent="0.35">
      <c r="A19" s="2" t="s">
        <v>198</v>
      </c>
      <c r="B19" s="7" t="s">
        <v>208</v>
      </c>
      <c r="C19" s="8">
        <v>45827</v>
      </c>
      <c r="D19" s="7" t="s">
        <v>101</v>
      </c>
      <c r="E19" s="19">
        <v>250000</v>
      </c>
      <c r="F19" s="7">
        <v>3</v>
      </c>
      <c r="G19" s="7">
        <v>600</v>
      </c>
      <c r="H19" s="22">
        <v>25000</v>
      </c>
      <c r="I19" s="22">
        <v>60000</v>
      </c>
      <c r="J19" s="7" t="s">
        <v>98</v>
      </c>
      <c r="K19" s="7">
        <v>1</v>
      </c>
    </row>
    <row r="20" spans="1:11" x14ac:dyDescent="0.35">
      <c r="A20" s="2" t="s">
        <v>199</v>
      </c>
      <c r="B20" s="7" t="s">
        <v>209</v>
      </c>
      <c r="C20" s="8">
        <v>45828</v>
      </c>
      <c r="D20" s="7" t="s">
        <v>99</v>
      </c>
      <c r="E20" s="19">
        <v>600000</v>
      </c>
      <c r="F20" s="7">
        <v>3</v>
      </c>
      <c r="G20" s="7">
        <v>342</v>
      </c>
      <c r="H20" s="22">
        <v>8000</v>
      </c>
      <c r="I20" s="22">
        <v>250000</v>
      </c>
      <c r="J20" s="7" t="s">
        <v>98</v>
      </c>
      <c r="K20" s="7">
        <v>1</v>
      </c>
    </row>
    <row r="21" spans="1:11" x14ac:dyDescent="0.35">
      <c r="A21" s="2" t="s">
        <v>200</v>
      </c>
      <c r="B21" s="7" t="s">
        <v>210</v>
      </c>
      <c r="C21" s="8">
        <v>45829</v>
      </c>
      <c r="D21" s="7" t="s">
        <v>97</v>
      </c>
      <c r="E21" s="19">
        <v>450000</v>
      </c>
      <c r="F21" s="7">
        <v>3</v>
      </c>
      <c r="G21" s="7">
        <v>768</v>
      </c>
      <c r="H21" s="22">
        <v>3000</v>
      </c>
      <c r="I21" s="22">
        <v>120000</v>
      </c>
      <c r="J21" s="7" t="s">
        <v>98</v>
      </c>
      <c r="K21" s="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8"/>
  <sheetViews>
    <sheetView topLeftCell="G1" workbookViewId="0">
      <selection activeCell="N12" sqref="N12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21.26953125" style="6" bestFit="1" customWidth="1"/>
    <col min="11" max="11" width="14.26953125" style="6" bestFit="1" customWidth="1"/>
    <col min="12" max="12" width="14.7265625" style="6" bestFit="1" customWidth="1"/>
    <col min="13" max="13" width="8.7265625" style="6"/>
    <col min="14" max="14" width="21.26953125" style="6" bestFit="1" customWidth="1"/>
    <col min="15" max="15" width="14.90625" style="6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213</v>
      </c>
      <c r="G1" s="5" t="s">
        <v>215</v>
      </c>
      <c r="H1" s="5" t="s">
        <v>62</v>
      </c>
      <c r="I1" s="5" t="s">
        <v>63</v>
      </c>
      <c r="J1" s="5" t="s">
        <v>214</v>
      </c>
      <c r="Q1" s="14"/>
      <c r="R1" s="14"/>
      <c r="S1" s="14"/>
      <c r="T1" s="14"/>
    </row>
    <row r="2" spans="1:20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>
        <f>E2*F2*3+E2+G2</f>
        <v>57000</v>
      </c>
    </row>
    <row r="3" spans="1:20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>
        <f>E3*F3*3+G3+E3</f>
        <v>81400</v>
      </c>
    </row>
    <row r="4" spans="1:20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7">
        <f>E2*F2*3+G4+E4</f>
        <v>98000</v>
      </c>
    </row>
    <row r="5" spans="1:20" x14ac:dyDescent="0.35">
      <c r="A5" s="2" t="s">
        <v>74</v>
      </c>
      <c r="B5" s="7" t="s">
        <v>100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>
        <f t="shared" ref="J5:J21" si="1">E5*F5*H5+G5+E5</f>
        <v>126200</v>
      </c>
    </row>
    <row r="6" spans="1:20" x14ac:dyDescent="0.35">
      <c r="A6" s="2" t="s">
        <v>76</v>
      </c>
      <c r="B6" s="7" t="s">
        <v>103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>
        <f t="shared" si="1"/>
        <v>148600</v>
      </c>
    </row>
    <row r="7" spans="1:20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>
        <f t="shared" si="1"/>
        <v>173000</v>
      </c>
    </row>
    <row r="8" spans="1:20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>
        <f t="shared" si="1"/>
        <v>192900</v>
      </c>
    </row>
    <row r="9" spans="1:20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>
        <f t="shared" si="1"/>
        <v>68200</v>
      </c>
    </row>
    <row r="10" spans="1:20" x14ac:dyDescent="0.35">
      <c r="A10" s="2" t="s">
        <v>184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>
        <f t="shared" si="1"/>
        <v>91600</v>
      </c>
    </row>
    <row r="11" spans="1:20" x14ac:dyDescent="0.35">
      <c r="A11" s="2" t="s">
        <v>185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>
        <f t="shared" si="1"/>
        <v>115000</v>
      </c>
    </row>
    <row r="12" spans="1:20" x14ac:dyDescent="0.35">
      <c r="A12" s="2" t="s">
        <v>186</v>
      </c>
      <c r="B12" s="7" t="s">
        <v>104</v>
      </c>
      <c r="C12" s="7" t="s">
        <v>201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>
        <f t="shared" si="1"/>
        <v>137400</v>
      </c>
    </row>
    <row r="13" spans="1:20" x14ac:dyDescent="0.35">
      <c r="A13" s="2" t="s">
        <v>187</v>
      </c>
      <c r="B13" s="7" t="s">
        <v>105</v>
      </c>
      <c r="C13" s="7" t="s">
        <v>202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>
        <f t="shared" si="1"/>
        <v>159800</v>
      </c>
    </row>
    <row r="14" spans="1:20" x14ac:dyDescent="0.35">
      <c r="A14" s="2" t="s">
        <v>188</v>
      </c>
      <c r="B14" s="7" t="s">
        <v>106</v>
      </c>
      <c r="C14" s="7" t="s">
        <v>203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>
        <f t="shared" si="1"/>
        <v>184200</v>
      </c>
    </row>
    <row r="15" spans="1:20" x14ac:dyDescent="0.35">
      <c r="A15" s="2" t="s">
        <v>189</v>
      </c>
      <c r="B15" s="7" t="s">
        <v>107</v>
      </c>
      <c r="C15" s="7" t="s">
        <v>204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>
        <f t="shared" si="1"/>
        <v>206600</v>
      </c>
    </row>
    <row r="16" spans="1:20" x14ac:dyDescent="0.35">
      <c r="A16" s="2" t="s">
        <v>190</v>
      </c>
      <c r="B16" s="7" t="s">
        <v>108</v>
      </c>
      <c r="C16" s="7" t="s">
        <v>205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>
        <f t="shared" si="1"/>
        <v>229000</v>
      </c>
    </row>
    <row r="17" spans="1:12" x14ac:dyDescent="0.35">
      <c r="A17" s="2" t="s">
        <v>191</v>
      </c>
      <c r="B17" s="7" t="s">
        <v>196</v>
      </c>
      <c r="C17" s="7" t="s">
        <v>206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>
        <f t="shared" si="1"/>
        <v>80400</v>
      </c>
    </row>
    <row r="18" spans="1:12" x14ac:dyDescent="0.35">
      <c r="A18" s="2" t="s">
        <v>192</v>
      </c>
      <c r="B18" s="7" t="s">
        <v>197</v>
      </c>
      <c r="C18" s="7" t="s">
        <v>207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>
        <f t="shared" si="1"/>
        <v>102800</v>
      </c>
    </row>
    <row r="19" spans="1:12" x14ac:dyDescent="0.35">
      <c r="A19" s="2" t="s">
        <v>193</v>
      </c>
      <c r="B19" s="7" t="s">
        <v>198</v>
      </c>
      <c r="C19" s="7" t="s">
        <v>208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>
        <f t="shared" si="1"/>
        <v>126200</v>
      </c>
    </row>
    <row r="20" spans="1:12" x14ac:dyDescent="0.35">
      <c r="A20" s="2" t="s">
        <v>194</v>
      </c>
      <c r="B20" s="7" t="s">
        <v>199</v>
      </c>
      <c r="C20" s="7" t="s">
        <v>209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>
        <f t="shared" si="1"/>
        <v>57000</v>
      </c>
    </row>
    <row r="21" spans="1:12" x14ac:dyDescent="0.35">
      <c r="A21" s="2" t="s">
        <v>195</v>
      </c>
      <c r="B21" s="7" t="s">
        <v>200</v>
      </c>
      <c r="C21" s="7" t="s">
        <v>210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>
        <f t="shared" si="1"/>
        <v>85000</v>
      </c>
    </row>
    <row r="22" spans="1:12" x14ac:dyDescent="0.35">
      <c r="K22" s="15" t="s">
        <v>217</v>
      </c>
    </row>
    <row r="23" spans="1:12" x14ac:dyDescent="0.35">
      <c r="B23" s="17" t="s">
        <v>223</v>
      </c>
      <c r="L23" s="15" t="s">
        <v>218</v>
      </c>
    </row>
    <row r="24" spans="1:12" x14ac:dyDescent="0.35">
      <c r="A24" s="1" t="s">
        <v>56</v>
      </c>
      <c r="B24" s="1" t="s">
        <v>211</v>
      </c>
      <c r="C24" s="1" t="s">
        <v>142</v>
      </c>
      <c r="D24" s="11" t="s">
        <v>212</v>
      </c>
      <c r="F24" s="1"/>
      <c r="G24" s="14" t="s">
        <v>220</v>
      </c>
      <c r="H24" s="15" t="s">
        <v>221</v>
      </c>
      <c r="I24" s="14" t="s">
        <v>222</v>
      </c>
      <c r="J24" s="14" t="s">
        <v>216</v>
      </c>
    </row>
    <row r="25" spans="1:12" x14ac:dyDescent="0.35">
      <c r="A25" s="2" t="s">
        <v>66</v>
      </c>
      <c r="B25" s="2">
        <v>1</v>
      </c>
      <c r="C25" s="3">
        <v>45872</v>
      </c>
      <c r="D25" s="10">
        <f>J2/H2</f>
        <v>19000</v>
      </c>
      <c r="G25" s="13"/>
      <c r="H25" s="16">
        <f>SUMIFS(D25:D27, A25:A27,A2, C25:C27, "&lt;="&amp;C27)</f>
        <v>57000</v>
      </c>
      <c r="I25" s="6">
        <f>SUMIFS(D25:D27, A25:A27,A2, C25:C27, "&lt;="&amp;C27)</f>
        <v>57000</v>
      </c>
    </row>
    <row r="26" spans="1:12" x14ac:dyDescent="0.35">
      <c r="A26" s="2" t="s">
        <v>66</v>
      </c>
      <c r="B26" s="2">
        <v>2</v>
      </c>
      <c r="C26" s="3">
        <v>45903</v>
      </c>
      <c r="D26" s="10">
        <f>J2/H2</f>
        <v>19000</v>
      </c>
    </row>
    <row r="27" spans="1:12" x14ac:dyDescent="0.35">
      <c r="A27" s="2" t="s">
        <v>66</v>
      </c>
      <c r="B27" s="2">
        <v>3</v>
      </c>
      <c r="C27" s="3">
        <v>45933</v>
      </c>
      <c r="D27" s="10">
        <f>J2/H2</f>
        <v>19000</v>
      </c>
    </row>
    <row r="28" spans="1:12" x14ac:dyDescent="0.35">
      <c r="A28" s="2" t="s">
        <v>70</v>
      </c>
      <c r="B28" s="2">
        <v>1</v>
      </c>
      <c r="C28" s="3">
        <v>45903</v>
      </c>
      <c r="D28" s="10">
        <f>J3/H3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</row>
    <row r="29" spans="1:12" x14ac:dyDescent="0.35">
      <c r="A29" s="2" t="s">
        <v>70</v>
      </c>
      <c r="B29" s="2">
        <v>2</v>
      </c>
      <c r="C29" s="3">
        <v>45933</v>
      </c>
      <c r="D29" s="10">
        <f>J3/H3</f>
        <v>27133.333333333332</v>
      </c>
    </row>
    <row r="30" spans="1:12" x14ac:dyDescent="0.35">
      <c r="A30" s="2" t="s">
        <v>70</v>
      </c>
      <c r="B30" s="2">
        <v>3</v>
      </c>
      <c r="C30" s="3">
        <v>45964</v>
      </c>
      <c r="D30" s="10">
        <f>J3/H3</f>
        <v>27133.333333333332</v>
      </c>
    </row>
    <row r="31" spans="1:12" x14ac:dyDescent="0.35">
      <c r="A31" s="23" t="s">
        <v>72</v>
      </c>
      <c r="B31" s="23">
        <v>1</v>
      </c>
      <c r="C31" s="24">
        <v>45874</v>
      </c>
      <c r="D31" s="25">
        <f>J4/H4</f>
        <v>32666.666666666668</v>
      </c>
    </row>
    <row r="32" spans="1:12" x14ac:dyDescent="0.35">
      <c r="A32" s="23" t="s">
        <v>72</v>
      </c>
      <c r="B32" s="23">
        <v>2</v>
      </c>
      <c r="C32" s="24">
        <v>45905</v>
      </c>
      <c r="D32" s="25">
        <f>J4/H4</f>
        <v>32666.666666666668</v>
      </c>
    </row>
    <row r="33" spans="1:10" x14ac:dyDescent="0.35">
      <c r="A33" s="23" t="s">
        <v>72</v>
      </c>
      <c r="B33" s="23">
        <v>3</v>
      </c>
      <c r="C33" s="24">
        <v>45935</v>
      </c>
      <c r="D33" s="26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13">
        <f>C33</f>
        <v>45935</v>
      </c>
    </row>
    <row r="34" spans="1:10" x14ac:dyDescent="0.35">
      <c r="A34" s="2" t="s">
        <v>74</v>
      </c>
      <c r="B34" s="2">
        <v>1</v>
      </c>
      <c r="C34" s="13">
        <v>45937</v>
      </c>
      <c r="D34" s="6">
        <f>J5/H5</f>
        <v>42066.666666666664</v>
      </c>
    </row>
    <row r="35" spans="1:10" x14ac:dyDescent="0.35">
      <c r="A35" s="2" t="s">
        <v>74</v>
      </c>
      <c r="B35" s="2">
        <v>2</v>
      </c>
      <c r="C35" s="13">
        <v>45968</v>
      </c>
      <c r="D35" s="6">
        <f>J5/H5</f>
        <v>42066.666666666664</v>
      </c>
    </row>
    <row r="36" spans="1:10" x14ac:dyDescent="0.35">
      <c r="A36" s="2" t="s">
        <v>74</v>
      </c>
      <c r="B36" s="2">
        <v>3</v>
      </c>
      <c r="C36" s="13">
        <v>45998</v>
      </c>
      <c r="D36" s="6">
        <f>J5/H5</f>
        <v>42066.666666666664</v>
      </c>
    </row>
    <row r="37" spans="1:10" x14ac:dyDescent="0.35">
      <c r="A37" s="2" t="s">
        <v>76</v>
      </c>
      <c r="B37" s="2">
        <v>1</v>
      </c>
      <c r="D37" s="6">
        <f>J6/H6</f>
        <v>49533.333333333336</v>
      </c>
    </row>
    <row r="38" spans="1:10" x14ac:dyDescent="0.35">
      <c r="A38" s="2" t="s">
        <v>76</v>
      </c>
      <c r="B38" s="2">
        <v>2</v>
      </c>
      <c r="D38" s="6">
        <f>J6/H5</f>
        <v>49533.333333333336</v>
      </c>
    </row>
    <row r="39" spans="1:10" x14ac:dyDescent="0.35">
      <c r="A39" s="2" t="s">
        <v>76</v>
      </c>
      <c r="B39" s="2">
        <v>3</v>
      </c>
      <c r="D39" s="6">
        <f>J6/H6</f>
        <v>49533.333333333336</v>
      </c>
    </row>
    <row r="40" spans="1:10" x14ac:dyDescent="0.35">
      <c r="A40" s="2" t="s">
        <v>187</v>
      </c>
    </row>
    <row r="41" spans="1:10" x14ac:dyDescent="0.35">
      <c r="A41" s="2" t="s">
        <v>188</v>
      </c>
    </row>
    <row r="42" spans="1:10" x14ac:dyDescent="0.35">
      <c r="A42" s="2" t="s">
        <v>189</v>
      </c>
    </row>
    <row r="43" spans="1:10" x14ac:dyDescent="0.35">
      <c r="A43" s="2" t="s">
        <v>190</v>
      </c>
    </row>
    <row r="44" spans="1:10" x14ac:dyDescent="0.35">
      <c r="A44" s="2" t="s">
        <v>191</v>
      </c>
    </row>
    <row r="45" spans="1:10" x14ac:dyDescent="0.35">
      <c r="A45" s="2" t="s">
        <v>192</v>
      </c>
    </row>
    <row r="46" spans="1:10" x14ac:dyDescent="0.35">
      <c r="A46" s="2" t="s">
        <v>193</v>
      </c>
    </row>
    <row r="47" spans="1:10" x14ac:dyDescent="0.35">
      <c r="A47" s="2" t="s">
        <v>194</v>
      </c>
    </row>
    <row r="48" spans="1:10" x14ac:dyDescent="0.35">
      <c r="A48" s="2" t="s">
        <v>195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tabSelected="1" topLeftCell="C1" workbookViewId="0">
      <selection activeCell="H8" sqref="H8"/>
    </sheetView>
  </sheetViews>
  <sheetFormatPr defaultRowHeight="14.5" x14ac:dyDescent="0.35"/>
  <cols>
    <col min="1" max="1" width="7" style="6" bestFit="1" customWidth="1"/>
    <col min="2" max="2" width="7.08984375" style="6" bestFit="1" customWidth="1"/>
    <col min="3" max="3" width="9.453125" style="13" bestFit="1" customWidth="1"/>
    <col min="4" max="4" width="11.81640625" style="22" bestFit="1" customWidth="1"/>
    <col min="5" max="5" width="14.90625" style="36" bestFit="1" customWidth="1"/>
    <col min="7" max="7" width="16" style="6" bestFit="1" customWidth="1"/>
    <col min="8" max="8" width="16" style="6" customWidth="1"/>
    <col min="9" max="9" width="14.26953125" style="22" bestFit="1" customWidth="1"/>
    <col min="10" max="10" width="14.7265625" style="6" bestFit="1" customWidth="1"/>
    <col min="11" max="11" width="8.7265625" style="9"/>
    <col min="12" max="12" width="21.26953125" style="6" bestFit="1" customWidth="1"/>
  </cols>
  <sheetData>
    <row r="1" spans="1:13" x14ac:dyDescent="0.35">
      <c r="A1" s="5" t="s">
        <v>56</v>
      </c>
      <c r="B1" s="5" t="s">
        <v>211</v>
      </c>
      <c r="C1" s="34" t="s">
        <v>142</v>
      </c>
      <c r="D1" s="27" t="s">
        <v>212</v>
      </c>
      <c r="E1" s="35" t="s">
        <v>250</v>
      </c>
      <c r="F1" s="37" t="s">
        <v>252</v>
      </c>
      <c r="G1" s="39" t="s">
        <v>259</v>
      </c>
      <c r="H1" s="39" t="s">
        <v>260</v>
      </c>
      <c r="I1" s="40" t="s">
        <v>221</v>
      </c>
      <c r="J1" s="15" t="s">
        <v>222</v>
      </c>
      <c r="K1" s="29" t="s">
        <v>219</v>
      </c>
      <c r="L1" s="15" t="s">
        <v>216</v>
      </c>
      <c r="M1" s="14" t="s">
        <v>217</v>
      </c>
    </row>
    <row r="2" spans="1:13" x14ac:dyDescent="0.35">
      <c r="A2" s="7" t="s">
        <v>66</v>
      </c>
      <c r="B2" s="7">
        <v>1</v>
      </c>
      <c r="C2" s="8">
        <v>45872</v>
      </c>
      <c r="D2" s="28">
        <f>Loan!D25</f>
        <v>19000</v>
      </c>
      <c r="E2" s="36">
        <v>45872</v>
      </c>
      <c r="F2" t="s">
        <v>253</v>
      </c>
      <c r="G2" s="38">
        <f>D2</f>
        <v>19000</v>
      </c>
      <c r="H2" s="38">
        <f>MAX(0,G2-D2)</f>
        <v>0</v>
      </c>
      <c r="I2" s="22">
        <f>SUMIFS(D2:D2,A2:A2,A2)</f>
        <v>19000</v>
      </c>
    </row>
    <row r="3" spans="1:13" x14ac:dyDescent="0.35">
      <c r="A3" s="7" t="s">
        <v>66</v>
      </c>
      <c r="B3" s="7">
        <v>2</v>
      </c>
      <c r="C3" s="8">
        <v>45903</v>
      </c>
      <c r="D3" s="28">
        <f>Loan!D25</f>
        <v>19000</v>
      </c>
      <c r="E3" s="36">
        <v>45903</v>
      </c>
      <c r="F3" t="s">
        <v>253</v>
      </c>
      <c r="G3" s="38">
        <f>D3</f>
        <v>19000</v>
      </c>
      <c r="H3" s="38">
        <f>MAX(0,D3-G3)</f>
        <v>0</v>
      </c>
      <c r="I3" s="22">
        <f>SUMIFS(D2:D3,A2:A3,A3)</f>
        <v>38000</v>
      </c>
    </row>
    <row r="4" spans="1:13" x14ac:dyDescent="0.35">
      <c r="A4" s="7" t="s">
        <v>66</v>
      </c>
      <c r="B4" s="7">
        <v>3</v>
      </c>
      <c r="C4" s="8">
        <v>45933</v>
      </c>
      <c r="D4" s="28">
        <f>Loan!D25</f>
        <v>19000</v>
      </c>
      <c r="E4" s="36">
        <v>45933</v>
      </c>
      <c r="F4" t="s">
        <v>253</v>
      </c>
      <c r="G4" s="38">
        <f>D4</f>
        <v>19000</v>
      </c>
      <c r="H4" s="38">
        <f>MAX(0,D4-G4)</f>
        <v>0</v>
      </c>
      <c r="I4" s="22">
        <f>SUMIFS(D2:D4,A2:A4,A4)</f>
        <v>57000</v>
      </c>
    </row>
    <row r="5" spans="1:13" x14ac:dyDescent="0.35">
      <c r="A5" s="7" t="s">
        <v>70</v>
      </c>
      <c r="B5" s="7">
        <v>1</v>
      </c>
      <c r="C5" s="8">
        <v>45903</v>
      </c>
      <c r="D5" s="28">
        <f>Loan!J3/Loan!H3</f>
        <v>27133.333333333332</v>
      </c>
      <c r="E5" s="36">
        <v>45903</v>
      </c>
      <c r="F5" t="s">
        <v>254</v>
      </c>
      <c r="G5" s="6">
        <f>0</f>
        <v>0</v>
      </c>
      <c r="H5" s="38">
        <f>MAX(0,D5-G5)</f>
        <v>27133.333333333332</v>
      </c>
      <c r="I5" s="22">
        <f>SUMIFS(D5:D5,A5,A5:A5)</f>
        <v>27133.333333333332</v>
      </c>
      <c r="J5" s="38">
        <f>MAX(0,G5-H5)</f>
        <v>0</v>
      </c>
      <c r="K5" s="41">
        <f>I5-J5</f>
        <v>27133.333333333332</v>
      </c>
    </row>
    <row r="6" spans="1:13" x14ac:dyDescent="0.35">
      <c r="A6" s="7" t="s">
        <v>70</v>
      </c>
      <c r="B6" s="7">
        <v>2</v>
      </c>
      <c r="C6" s="8">
        <v>45933</v>
      </c>
      <c r="D6" s="28">
        <f>D5</f>
        <v>27133.333333333332</v>
      </c>
      <c r="E6" s="36">
        <v>45933</v>
      </c>
      <c r="F6" t="s">
        <v>254</v>
      </c>
      <c r="G6" s="6">
        <f>0</f>
        <v>0</v>
      </c>
      <c r="H6" s="38">
        <f t="shared" ref="H6:H7" si="0">MAX(0,D6-G6)</f>
        <v>27133.333333333332</v>
      </c>
      <c r="I6" s="22">
        <f>SUMIFS(D5:D6,A5:A6,A5)</f>
        <v>54266.666666666664</v>
      </c>
      <c r="J6" s="38">
        <f t="shared" ref="J6:J7" si="1">MAX(0,G6-H6)</f>
        <v>0</v>
      </c>
      <c r="K6" s="41">
        <f>I6-J6</f>
        <v>54266.666666666664</v>
      </c>
    </row>
    <row r="7" spans="1:13" x14ac:dyDescent="0.35">
      <c r="A7" s="7" t="s">
        <v>70</v>
      </c>
      <c r="B7" s="7">
        <v>3</v>
      </c>
      <c r="C7" s="8">
        <v>45964</v>
      </c>
      <c r="D7" s="28">
        <f>D5</f>
        <v>27133.333333333332</v>
      </c>
      <c r="E7" s="36">
        <v>45964</v>
      </c>
      <c r="F7" t="s">
        <v>254</v>
      </c>
      <c r="G7" s="6">
        <f>0</f>
        <v>0</v>
      </c>
      <c r="H7" s="38">
        <f t="shared" si="0"/>
        <v>27133.333333333332</v>
      </c>
      <c r="I7" s="22">
        <f>SUMIFS(D5:D7,A5:A7,A7)</f>
        <v>81400</v>
      </c>
      <c r="J7" s="38">
        <f t="shared" si="1"/>
        <v>0</v>
      </c>
      <c r="K7" s="41">
        <f>I7-J7</f>
        <v>81400</v>
      </c>
    </row>
    <row r="8" spans="1:13" x14ac:dyDescent="0.35">
      <c r="A8" s="30" t="s">
        <v>72</v>
      </c>
      <c r="B8" s="30">
        <v>1</v>
      </c>
      <c r="C8" s="31">
        <v>45874</v>
      </c>
      <c r="D8" s="32">
        <f>Loan!J4/Loan!H4</f>
        <v>32666.666666666668</v>
      </c>
      <c r="E8" s="36">
        <v>45874</v>
      </c>
      <c r="F8" t="s">
        <v>255</v>
      </c>
      <c r="G8" s="22">
        <v>13000</v>
      </c>
      <c r="H8" s="22">
        <f>MAX(0,D8-G8)</f>
        <v>19666.666666666668</v>
      </c>
      <c r="I8" s="22">
        <f>SUMIFS(D8:D8,A8:A8,A8)</f>
        <v>32666.666666666668</v>
      </c>
      <c r="J8" s="38">
        <f>G8</f>
        <v>13000</v>
      </c>
      <c r="K8" s="41">
        <f>I8-J8</f>
        <v>19666.666666666668</v>
      </c>
    </row>
    <row r="9" spans="1:13" x14ac:dyDescent="0.35">
      <c r="A9" s="30" t="s">
        <v>72</v>
      </c>
      <c r="B9" s="30">
        <v>2</v>
      </c>
      <c r="C9" s="31">
        <v>45905</v>
      </c>
      <c r="D9" s="32">
        <f>D8</f>
        <v>32666.666666666668</v>
      </c>
      <c r="E9" s="36">
        <v>45905</v>
      </c>
      <c r="F9" t="s">
        <v>255</v>
      </c>
      <c r="G9" s="38">
        <v>10000</v>
      </c>
      <c r="H9" s="22">
        <f t="shared" ref="H9:H10" si="2">MAX(0,D9-G9)</f>
        <v>22666.666666666668</v>
      </c>
      <c r="I9" s="22">
        <f>SUMIFS(D8:D9,A8:A9,A9)</f>
        <v>65333.333333333336</v>
      </c>
      <c r="J9" s="38">
        <f>G8+G9</f>
        <v>23000</v>
      </c>
      <c r="K9" s="41">
        <f>I9-J9</f>
        <v>42333.333333333336</v>
      </c>
    </row>
    <row r="10" spans="1:13" x14ac:dyDescent="0.35">
      <c r="A10" s="30" t="s">
        <v>72</v>
      </c>
      <c r="B10" s="30">
        <v>3</v>
      </c>
      <c r="C10" s="31">
        <v>45935</v>
      </c>
      <c r="D10" s="33">
        <f>D8</f>
        <v>32666.666666666668</v>
      </c>
      <c r="E10" s="36">
        <v>45935</v>
      </c>
      <c r="F10" t="s">
        <v>255</v>
      </c>
      <c r="G10" s="22">
        <v>14000</v>
      </c>
      <c r="H10" s="22">
        <f t="shared" si="2"/>
        <v>18666.666666666668</v>
      </c>
      <c r="I10" s="22">
        <f>SUMIFS(D8:D10,A8:A10,A10)</f>
        <v>98000</v>
      </c>
      <c r="J10" s="38">
        <f>G8+G9+G10</f>
        <v>37000</v>
      </c>
      <c r="K10" s="41">
        <f>I10-J10</f>
        <v>61000</v>
      </c>
    </row>
    <row r="11" spans="1:13" x14ac:dyDescent="0.35">
      <c r="A11" s="7" t="s">
        <v>74</v>
      </c>
      <c r="B11" s="7">
        <v>1</v>
      </c>
      <c r="C11" s="13">
        <v>45937</v>
      </c>
      <c r="D11" s="22">
        <f>Loan!J5/Loan!H5</f>
        <v>42066.666666666664</v>
      </c>
      <c r="E11" s="36" t="s">
        <v>251</v>
      </c>
      <c r="F11" t="s">
        <v>256</v>
      </c>
      <c r="G11" s="38">
        <f>0</f>
        <v>0</v>
      </c>
      <c r="H11" s="38">
        <f>D11+G11</f>
        <v>42066.666666666664</v>
      </c>
      <c r="I11" s="22">
        <f>D11</f>
        <v>42066.666666666664</v>
      </c>
    </row>
    <row r="12" spans="1:13" x14ac:dyDescent="0.35">
      <c r="A12" s="7" t="s">
        <v>74</v>
      </c>
      <c r="B12" s="7">
        <v>2</v>
      </c>
      <c r="C12" s="13">
        <v>45968</v>
      </c>
      <c r="D12" s="22">
        <f>D11</f>
        <v>42066.666666666664</v>
      </c>
      <c r="E12" s="36" t="s">
        <v>251</v>
      </c>
      <c r="F12" t="s">
        <v>256</v>
      </c>
      <c r="G12" s="38">
        <f>0</f>
        <v>0</v>
      </c>
      <c r="H12" s="38">
        <f t="shared" ref="H12:H13" si="3">D12+G12</f>
        <v>42066.666666666664</v>
      </c>
      <c r="I12" s="22">
        <f t="shared" ref="I12:I13" si="4">D12</f>
        <v>42066.666666666664</v>
      </c>
    </row>
    <row r="13" spans="1:13" x14ac:dyDescent="0.35">
      <c r="A13" s="7" t="s">
        <v>74</v>
      </c>
      <c r="B13" s="7">
        <v>3</v>
      </c>
      <c r="C13" s="13">
        <v>45998</v>
      </c>
      <c r="D13" s="22">
        <f>D11</f>
        <v>42066.666666666664</v>
      </c>
      <c r="E13" s="36" t="s">
        <v>251</v>
      </c>
      <c r="F13" t="s">
        <v>256</v>
      </c>
      <c r="G13" s="38">
        <f>0</f>
        <v>0</v>
      </c>
      <c r="H13" s="38">
        <f t="shared" si="3"/>
        <v>42066.666666666664</v>
      </c>
      <c r="I13" s="22">
        <f t="shared" si="4"/>
        <v>42066.666666666664</v>
      </c>
    </row>
    <row r="14" spans="1:13" x14ac:dyDescent="0.35">
      <c r="A14" s="7" t="s">
        <v>76</v>
      </c>
      <c r="B14" s="7">
        <v>1</v>
      </c>
      <c r="C14" s="13">
        <v>45937</v>
      </c>
      <c r="D14" s="22">
        <f>Loan!J6/Loan!H6</f>
        <v>49533.333333333336</v>
      </c>
      <c r="E14" s="36">
        <v>45718</v>
      </c>
      <c r="F14" t="s">
        <v>257</v>
      </c>
      <c r="I14" s="22">
        <f>D14</f>
        <v>49533.333333333336</v>
      </c>
    </row>
    <row r="15" spans="1:13" x14ac:dyDescent="0.35">
      <c r="A15" s="7" t="s">
        <v>76</v>
      </c>
      <c r="B15" s="7">
        <v>2</v>
      </c>
      <c r="C15" s="13">
        <v>45968</v>
      </c>
      <c r="D15" s="22">
        <f>D14</f>
        <v>49533.333333333336</v>
      </c>
      <c r="E15" s="36">
        <v>45748</v>
      </c>
      <c r="F15" t="s">
        <v>257</v>
      </c>
      <c r="I15" s="22">
        <f t="shared" ref="I15:I16" si="5">D15</f>
        <v>49533.333333333336</v>
      </c>
    </row>
    <row r="16" spans="1:13" x14ac:dyDescent="0.35">
      <c r="A16" s="7" t="s">
        <v>76</v>
      </c>
      <c r="B16" s="7">
        <v>3</v>
      </c>
      <c r="C16" s="13">
        <v>45998</v>
      </c>
      <c r="D16" s="22">
        <f>D15</f>
        <v>49533.333333333336</v>
      </c>
      <c r="E16" s="36">
        <v>45778</v>
      </c>
      <c r="F16" t="s">
        <v>257</v>
      </c>
      <c r="I16" s="22">
        <f t="shared" si="5"/>
        <v>49533.333333333336</v>
      </c>
    </row>
    <row r="17" spans="1:9" x14ac:dyDescent="0.35">
      <c r="A17" s="7" t="s">
        <v>78</v>
      </c>
      <c r="B17" s="7">
        <v>1</v>
      </c>
      <c r="D17" s="22">
        <f>Loan!J7/Loan!H7</f>
        <v>57666.666666666664</v>
      </c>
      <c r="F17" t="s">
        <v>258</v>
      </c>
      <c r="I17" s="22">
        <f>D17</f>
        <v>57666.666666666664</v>
      </c>
    </row>
    <row r="18" spans="1:9" x14ac:dyDescent="0.35">
      <c r="A18" s="7" t="s">
        <v>78</v>
      </c>
      <c r="B18" s="7">
        <v>2</v>
      </c>
      <c r="D18" s="22">
        <f>Loan!J7/Loan!H7</f>
        <v>57666.666666666664</v>
      </c>
      <c r="E18" s="36">
        <v>45760</v>
      </c>
      <c r="F18" t="s">
        <v>258</v>
      </c>
      <c r="I18" s="22">
        <f t="shared" ref="I18:I19" si="6">D18</f>
        <v>57666.666666666664</v>
      </c>
    </row>
    <row r="19" spans="1:9" x14ac:dyDescent="0.35">
      <c r="A19" s="7" t="s">
        <v>78</v>
      </c>
      <c r="B19" s="7">
        <v>3</v>
      </c>
      <c r="D19" s="22">
        <f>Loan!J7/Loan!H7</f>
        <v>57666.666666666664</v>
      </c>
      <c r="E19" s="36">
        <v>45790</v>
      </c>
      <c r="F19" t="s">
        <v>258</v>
      </c>
      <c r="I19" s="22">
        <f t="shared" si="6"/>
        <v>57666.666666666664</v>
      </c>
    </row>
    <row r="20" spans="1:9" x14ac:dyDescent="0.35">
      <c r="A20" s="7" t="s">
        <v>80</v>
      </c>
      <c r="B20" s="7">
        <v>1</v>
      </c>
      <c r="D20" s="22">
        <f>Loan!J8/Loan!H8</f>
        <v>64300</v>
      </c>
      <c r="E20" s="36">
        <v>45737</v>
      </c>
      <c r="F20" t="s">
        <v>253</v>
      </c>
      <c r="I20" s="22">
        <f>D20</f>
        <v>64300</v>
      </c>
    </row>
    <row r="21" spans="1:9" x14ac:dyDescent="0.35">
      <c r="A21" s="7" t="s">
        <v>80</v>
      </c>
      <c r="B21" s="7">
        <v>2</v>
      </c>
      <c r="D21" s="22">
        <f>D20</f>
        <v>64300</v>
      </c>
      <c r="E21" s="36">
        <v>45767</v>
      </c>
      <c r="F21" t="s">
        <v>253</v>
      </c>
      <c r="I21" s="22">
        <f t="shared" ref="I21:I22" si="7">D21</f>
        <v>64300</v>
      </c>
    </row>
    <row r="22" spans="1:9" x14ac:dyDescent="0.35">
      <c r="A22" s="7" t="s">
        <v>80</v>
      </c>
      <c r="B22" s="7">
        <v>3</v>
      </c>
      <c r="D22" s="22">
        <f>D21</f>
        <v>64300</v>
      </c>
      <c r="E22" s="36">
        <v>45797</v>
      </c>
      <c r="F22" t="s">
        <v>253</v>
      </c>
      <c r="I22" s="22">
        <f t="shared" si="7"/>
        <v>64300</v>
      </c>
    </row>
    <row r="23" spans="1:9" x14ac:dyDescent="0.35">
      <c r="A23" s="7" t="s">
        <v>82</v>
      </c>
      <c r="B23" s="7">
        <v>1</v>
      </c>
      <c r="D23" s="22">
        <f>Loan!J9/Loan!H9</f>
        <v>22733.333333333332</v>
      </c>
      <c r="E23" s="36">
        <v>45749</v>
      </c>
      <c r="F23" t="s">
        <v>254</v>
      </c>
      <c r="I23" s="22">
        <f>D23</f>
        <v>22733.333333333332</v>
      </c>
    </row>
    <row r="24" spans="1:9" x14ac:dyDescent="0.35">
      <c r="A24" s="7" t="s">
        <v>82</v>
      </c>
      <c r="B24" s="7">
        <v>2</v>
      </c>
      <c r="D24" s="22">
        <f>D23</f>
        <v>22733.333333333332</v>
      </c>
      <c r="E24" s="36">
        <v>45784</v>
      </c>
      <c r="F24" t="s">
        <v>254</v>
      </c>
      <c r="I24" s="22">
        <f t="shared" ref="I24:I25" si="8">D24</f>
        <v>22733.333333333332</v>
      </c>
    </row>
    <row r="25" spans="1:9" x14ac:dyDescent="0.35">
      <c r="A25" s="7" t="s">
        <v>82</v>
      </c>
      <c r="B25" s="7">
        <v>3</v>
      </c>
      <c r="D25" s="22">
        <f>D24</f>
        <v>22733.333333333332</v>
      </c>
      <c r="E25" s="36">
        <v>45819</v>
      </c>
      <c r="F25" t="s">
        <v>254</v>
      </c>
      <c r="I25" s="22">
        <f t="shared" si="8"/>
        <v>22733.333333333332</v>
      </c>
    </row>
    <row r="26" spans="1:9" x14ac:dyDescent="0.35">
      <c r="A26" s="7" t="s">
        <v>184</v>
      </c>
      <c r="B26" s="7">
        <v>1</v>
      </c>
      <c r="D26" s="22">
        <f>Loan!J10/Loan!H10</f>
        <v>30533.333333333332</v>
      </c>
      <c r="E26" s="36">
        <v>45751</v>
      </c>
      <c r="F26" t="s">
        <v>255</v>
      </c>
      <c r="I26" s="22">
        <f>D26</f>
        <v>30533.333333333332</v>
      </c>
    </row>
    <row r="27" spans="1:9" x14ac:dyDescent="0.35">
      <c r="A27" s="7" t="s">
        <v>184</v>
      </c>
      <c r="B27" s="7">
        <v>2</v>
      </c>
      <c r="D27" s="22">
        <f>D26</f>
        <v>30533.333333333332</v>
      </c>
      <c r="E27" s="36">
        <v>45781</v>
      </c>
      <c r="F27" t="s">
        <v>255</v>
      </c>
      <c r="I27" s="22">
        <f t="shared" ref="I27:I28" si="9">D27</f>
        <v>30533.333333333332</v>
      </c>
    </row>
    <row r="28" spans="1:9" x14ac:dyDescent="0.35">
      <c r="A28" s="7" t="s">
        <v>184</v>
      </c>
      <c r="B28" s="7">
        <v>3</v>
      </c>
      <c r="D28" s="22">
        <f>D27</f>
        <v>30533.333333333332</v>
      </c>
      <c r="E28" s="36">
        <v>45811</v>
      </c>
      <c r="F28" t="s">
        <v>255</v>
      </c>
      <c r="I28" s="22">
        <f t="shared" si="9"/>
        <v>30533.333333333332</v>
      </c>
    </row>
    <row r="29" spans="1:9" x14ac:dyDescent="0.35">
      <c r="A29" s="7" t="s">
        <v>185</v>
      </c>
      <c r="B29" s="7">
        <v>1</v>
      </c>
      <c r="D29" s="22">
        <f>Loan!J11/Loan!H11</f>
        <v>38333.333333333336</v>
      </c>
      <c r="F29" t="s">
        <v>256</v>
      </c>
      <c r="I29" s="22">
        <f>D29</f>
        <v>38333.333333333336</v>
      </c>
    </row>
    <row r="30" spans="1:9" x14ac:dyDescent="0.35">
      <c r="A30" s="7" t="s">
        <v>185</v>
      </c>
      <c r="B30" s="7">
        <v>2</v>
      </c>
      <c r="D30" s="22">
        <f>D29</f>
        <v>38333.333333333336</v>
      </c>
      <c r="F30" t="s">
        <v>256</v>
      </c>
      <c r="I30" s="22">
        <f t="shared" ref="I30:I31" si="10">D30</f>
        <v>38333.333333333336</v>
      </c>
    </row>
    <row r="31" spans="1:9" x14ac:dyDescent="0.35">
      <c r="A31" s="7" t="s">
        <v>185</v>
      </c>
      <c r="B31" s="7">
        <v>3</v>
      </c>
      <c r="D31" s="22">
        <f>D30</f>
        <v>38333.333333333336</v>
      </c>
      <c r="F31" t="s">
        <v>256</v>
      </c>
      <c r="I31" s="22">
        <f t="shared" si="10"/>
        <v>38333.333333333336</v>
      </c>
    </row>
    <row r="32" spans="1:9" x14ac:dyDescent="0.35">
      <c r="A32" s="7" t="s">
        <v>186</v>
      </c>
      <c r="B32" s="7">
        <v>1</v>
      </c>
      <c r="D32" s="22">
        <f>Loan!J12/Loan!H12</f>
        <v>45800</v>
      </c>
      <c r="E32" s="36">
        <v>45760</v>
      </c>
      <c r="F32" t="s">
        <v>257</v>
      </c>
      <c r="I32" s="22">
        <f>D32</f>
        <v>45800</v>
      </c>
    </row>
    <row r="33" spans="1:9" x14ac:dyDescent="0.35">
      <c r="A33" s="7" t="s">
        <v>186</v>
      </c>
      <c r="B33" s="7">
        <v>2</v>
      </c>
      <c r="D33" s="22">
        <f>D32</f>
        <v>45800</v>
      </c>
      <c r="E33" s="36">
        <v>45790</v>
      </c>
      <c r="F33" t="s">
        <v>257</v>
      </c>
      <c r="I33" s="22">
        <f t="shared" ref="I33:I34" si="11">D33</f>
        <v>45800</v>
      </c>
    </row>
    <row r="34" spans="1:9" x14ac:dyDescent="0.35">
      <c r="A34" s="7" t="s">
        <v>249</v>
      </c>
      <c r="B34" s="7">
        <v>3</v>
      </c>
      <c r="D34" s="22">
        <f>D33</f>
        <v>45800</v>
      </c>
      <c r="E34" s="36">
        <v>45820</v>
      </c>
      <c r="F34" t="s">
        <v>257</v>
      </c>
      <c r="I34" s="22">
        <f t="shared" si="11"/>
        <v>45800</v>
      </c>
    </row>
    <row r="35" spans="1:9" x14ac:dyDescent="0.35">
      <c r="A35" s="7" t="s">
        <v>187</v>
      </c>
      <c r="B35" s="7">
        <v>1</v>
      </c>
      <c r="D35" s="22">
        <f>Loan!J13/Loan!H13</f>
        <v>53266.666666666664</v>
      </c>
      <c r="F35" t="s">
        <v>258</v>
      </c>
      <c r="I35" s="22">
        <f>D36</f>
        <v>53266.666666666664</v>
      </c>
    </row>
    <row r="36" spans="1:9" x14ac:dyDescent="0.35">
      <c r="A36" s="7" t="s">
        <v>187</v>
      </c>
      <c r="B36" s="7">
        <v>2</v>
      </c>
      <c r="D36" s="22">
        <f>D35</f>
        <v>53266.666666666664</v>
      </c>
      <c r="E36" s="36">
        <v>45802</v>
      </c>
      <c r="F36" t="s">
        <v>258</v>
      </c>
      <c r="I36" s="22">
        <f>D37</f>
        <v>53266.666666666664</v>
      </c>
    </row>
    <row r="37" spans="1:9" x14ac:dyDescent="0.35">
      <c r="A37" s="7" t="s">
        <v>187</v>
      </c>
      <c r="B37" s="7">
        <v>3</v>
      </c>
      <c r="D37" s="22">
        <f>D36</f>
        <v>53266.666666666664</v>
      </c>
      <c r="E37" s="36">
        <v>45832</v>
      </c>
      <c r="F37" t="s">
        <v>258</v>
      </c>
      <c r="I37" s="22">
        <f>D37</f>
        <v>53266.666666666664</v>
      </c>
    </row>
    <row r="38" spans="1:9" x14ac:dyDescent="0.35">
      <c r="A38" s="7" t="s">
        <v>188</v>
      </c>
      <c r="B38" s="7">
        <v>1</v>
      </c>
      <c r="D38" s="22">
        <f>Loan!J14/Loan!H14</f>
        <v>61400</v>
      </c>
      <c r="E38" s="36">
        <v>45779</v>
      </c>
      <c r="F38" t="s">
        <v>253</v>
      </c>
      <c r="I38" s="22">
        <f>D38</f>
        <v>61400</v>
      </c>
    </row>
    <row r="39" spans="1:9" x14ac:dyDescent="0.35">
      <c r="A39" s="7" t="s">
        <v>188</v>
      </c>
      <c r="B39" s="7">
        <v>2</v>
      </c>
      <c r="D39" s="22">
        <f>D38</f>
        <v>61400</v>
      </c>
      <c r="E39" s="36">
        <v>45809</v>
      </c>
      <c r="F39" t="s">
        <v>253</v>
      </c>
      <c r="I39" s="22">
        <f t="shared" ref="I39:I40" si="12">D39</f>
        <v>61400</v>
      </c>
    </row>
    <row r="40" spans="1:9" x14ac:dyDescent="0.35">
      <c r="A40" s="7" t="s">
        <v>188</v>
      </c>
      <c r="B40" s="7">
        <v>3</v>
      </c>
      <c r="D40" s="22">
        <f>D39</f>
        <v>61400</v>
      </c>
      <c r="E40" s="36">
        <v>45839</v>
      </c>
      <c r="F40" t="s">
        <v>253</v>
      </c>
      <c r="I40" s="22">
        <f t="shared" si="12"/>
        <v>61400</v>
      </c>
    </row>
    <row r="41" spans="1:9" x14ac:dyDescent="0.35">
      <c r="A41" s="7" t="s">
        <v>189</v>
      </c>
      <c r="B41" s="7">
        <v>1</v>
      </c>
      <c r="D41" s="22">
        <f>Loan!J15/Loan!H15</f>
        <v>68866.666666666672</v>
      </c>
      <c r="E41" s="36">
        <v>45791</v>
      </c>
      <c r="F41" t="s">
        <v>254</v>
      </c>
      <c r="I41" s="22">
        <f>D41</f>
        <v>68866.666666666672</v>
      </c>
    </row>
    <row r="42" spans="1:9" x14ac:dyDescent="0.35">
      <c r="A42" s="7" t="s">
        <v>189</v>
      </c>
      <c r="B42" s="7">
        <v>2</v>
      </c>
      <c r="D42" s="22">
        <f>D41</f>
        <v>68866.666666666672</v>
      </c>
      <c r="E42" s="36">
        <v>45826</v>
      </c>
      <c r="F42" t="s">
        <v>254</v>
      </c>
      <c r="I42" s="22">
        <f t="shared" ref="I42:I43" si="13">D42</f>
        <v>68866.666666666672</v>
      </c>
    </row>
    <row r="43" spans="1:9" x14ac:dyDescent="0.35">
      <c r="A43" s="7" t="s">
        <v>189</v>
      </c>
      <c r="B43" s="7">
        <v>3</v>
      </c>
      <c r="D43" s="22">
        <f>D42</f>
        <v>68866.666666666672</v>
      </c>
      <c r="E43" s="36">
        <v>45861</v>
      </c>
      <c r="F43" t="s">
        <v>254</v>
      </c>
      <c r="I43" s="22">
        <f t="shared" si="13"/>
        <v>68866.666666666672</v>
      </c>
    </row>
    <row r="44" spans="1:9" x14ac:dyDescent="0.35">
      <c r="A44" s="7" t="s">
        <v>190</v>
      </c>
      <c r="B44" s="7">
        <v>1</v>
      </c>
      <c r="D44" s="22">
        <f>Loan!J16/Loan!H16</f>
        <v>76333.333333333328</v>
      </c>
      <c r="E44" s="36">
        <v>45793</v>
      </c>
      <c r="F44" t="s">
        <v>255</v>
      </c>
      <c r="I44" s="22">
        <f>D44</f>
        <v>76333.333333333328</v>
      </c>
    </row>
    <row r="45" spans="1:9" x14ac:dyDescent="0.35">
      <c r="A45" s="7" t="s">
        <v>190</v>
      </c>
      <c r="B45" s="7">
        <v>2</v>
      </c>
      <c r="D45" s="22">
        <f>D44</f>
        <v>76333.333333333328</v>
      </c>
      <c r="E45" s="36">
        <v>45823</v>
      </c>
      <c r="F45" t="s">
        <v>255</v>
      </c>
      <c r="I45" s="22">
        <f t="shared" ref="I45:I46" si="14">D45</f>
        <v>76333.333333333328</v>
      </c>
    </row>
    <row r="46" spans="1:9" x14ac:dyDescent="0.35">
      <c r="A46" s="7" t="s">
        <v>190</v>
      </c>
      <c r="B46" s="7">
        <v>3</v>
      </c>
      <c r="D46" s="22">
        <f>D45</f>
        <v>76333.333333333328</v>
      </c>
      <c r="E46" s="36">
        <v>45853</v>
      </c>
      <c r="F46" t="s">
        <v>255</v>
      </c>
      <c r="I46" s="22">
        <f t="shared" si="14"/>
        <v>76333.333333333328</v>
      </c>
    </row>
    <row r="47" spans="1:9" x14ac:dyDescent="0.35">
      <c r="A47" s="7" t="s">
        <v>191</v>
      </c>
      <c r="B47" s="7">
        <v>1</v>
      </c>
      <c r="D47" s="22">
        <f>Loan!J17/Loan!H17</f>
        <v>26800</v>
      </c>
      <c r="F47" t="s">
        <v>256</v>
      </c>
      <c r="I47" s="22">
        <f>D47</f>
        <v>26800</v>
      </c>
    </row>
    <row r="48" spans="1:9" x14ac:dyDescent="0.35">
      <c r="A48" s="7" t="s">
        <v>191</v>
      </c>
      <c r="B48" s="7">
        <v>2</v>
      </c>
      <c r="D48" s="22">
        <f>D47</f>
        <v>26800</v>
      </c>
      <c r="F48" t="s">
        <v>256</v>
      </c>
      <c r="I48" s="22">
        <f t="shared" ref="I48:I49" si="15">D48</f>
        <v>26800</v>
      </c>
    </row>
    <row r="49" spans="1:9" x14ac:dyDescent="0.35">
      <c r="A49" s="7" t="s">
        <v>248</v>
      </c>
      <c r="B49" s="7">
        <v>3</v>
      </c>
      <c r="D49" s="22">
        <f>D48</f>
        <v>26800</v>
      </c>
      <c r="F49" t="s">
        <v>256</v>
      </c>
      <c r="I49" s="22">
        <f t="shared" si="15"/>
        <v>26800</v>
      </c>
    </row>
    <row r="50" spans="1:9" x14ac:dyDescent="0.35">
      <c r="A50" s="7" t="s">
        <v>192</v>
      </c>
      <c r="B50" s="7">
        <v>1</v>
      </c>
      <c r="D50" s="22">
        <f>Loan!J18/Loan!H18</f>
        <v>34266.666666666664</v>
      </c>
      <c r="E50" s="36">
        <v>45802</v>
      </c>
      <c r="F50" t="s">
        <v>257</v>
      </c>
      <c r="I50" s="22">
        <f>D50</f>
        <v>34266.666666666664</v>
      </c>
    </row>
    <row r="51" spans="1:9" x14ac:dyDescent="0.35">
      <c r="A51" s="7" t="s">
        <v>192</v>
      </c>
      <c r="B51" s="7">
        <v>2</v>
      </c>
      <c r="D51" s="22">
        <f>D50</f>
        <v>34266.666666666664</v>
      </c>
      <c r="E51" s="36">
        <v>45832</v>
      </c>
      <c r="F51" t="s">
        <v>257</v>
      </c>
      <c r="I51" s="22">
        <f t="shared" ref="I51:I52" si="16">D51</f>
        <v>34266.666666666664</v>
      </c>
    </row>
    <row r="52" spans="1:9" x14ac:dyDescent="0.35">
      <c r="A52" s="7" t="s">
        <v>192</v>
      </c>
      <c r="B52" s="7">
        <v>3</v>
      </c>
      <c r="D52" s="22">
        <f>D51</f>
        <v>34266.666666666664</v>
      </c>
      <c r="E52" s="36">
        <v>45862</v>
      </c>
      <c r="F52" t="s">
        <v>257</v>
      </c>
      <c r="I52" s="22">
        <f t="shared" si="16"/>
        <v>34266.666666666664</v>
      </c>
    </row>
    <row r="53" spans="1:9" x14ac:dyDescent="0.35">
      <c r="A53" s="7" t="s">
        <v>193</v>
      </c>
      <c r="B53" s="7">
        <v>1</v>
      </c>
      <c r="D53" s="22">
        <f>Loan!J19/Loan!H19</f>
        <v>42066.666666666664</v>
      </c>
      <c r="F53" t="s">
        <v>258</v>
      </c>
      <c r="I53" s="22">
        <f>D53</f>
        <v>42066.666666666664</v>
      </c>
    </row>
    <row r="54" spans="1:9" x14ac:dyDescent="0.35">
      <c r="A54" s="7" t="s">
        <v>193</v>
      </c>
      <c r="B54" s="7">
        <v>2</v>
      </c>
      <c r="D54" s="22">
        <f>D53</f>
        <v>42066.666666666664</v>
      </c>
      <c r="E54" s="36">
        <v>45844</v>
      </c>
      <c r="F54" t="s">
        <v>258</v>
      </c>
      <c r="I54" s="22">
        <f t="shared" ref="I54:I55" si="17">D54</f>
        <v>42066.666666666664</v>
      </c>
    </row>
    <row r="55" spans="1:9" x14ac:dyDescent="0.35">
      <c r="A55" s="7" t="s">
        <v>193</v>
      </c>
      <c r="B55" s="7">
        <v>3</v>
      </c>
      <c r="D55" s="22">
        <f>D54</f>
        <v>42066.666666666664</v>
      </c>
      <c r="E55" s="36">
        <v>45874</v>
      </c>
      <c r="F55" t="s">
        <v>258</v>
      </c>
      <c r="I55" s="22">
        <f t="shared" si="17"/>
        <v>42066.666666666664</v>
      </c>
    </row>
    <row r="56" spans="1:9" x14ac:dyDescent="0.35">
      <c r="A56" s="7" t="s">
        <v>194</v>
      </c>
      <c r="B56" s="7">
        <v>1</v>
      </c>
      <c r="D56" s="22">
        <f>Loan!J20/Loan!H20</f>
        <v>19000</v>
      </c>
      <c r="E56" s="36">
        <v>45821</v>
      </c>
      <c r="F56" t="s">
        <v>253</v>
      </c>
      <c r="I56" s="22">
        <f>D56</f>
        <v>19000</v>
      </c>
    </row>
    <row r="57" spans="1:9" x14ac:dyDescent="0.35">
      <c r="A57" s="7" t="s">
        <v>194</v>
      </c>
      <c r="B57" s="7">
        <v>2</v>
      </c>
      <c r="D57" s="22">
        <f>D56</f>
        <v>19000</v>
      </c>
      <c r="E57" s="36">
        <v>45851</v>
      </c>
      <c r="F57" t="s">
        <v>253</v>
      </c>
      <c r="I57" s="22">
        <f t="shared" ref="I57:I58" si="18">D57</f>
        <v>19000</v>
      </c>
    </row>
    <row r="58" spans="1:9" x14ac:dyDescent="0.35">
      <c r="A58" s="7" t="s">
        <v>194</v>
      </c>
      <c r="B58" s="7">
        <v>3</v>
      </c>
      <c r="D58" s="22">
        <f>D56</f>
        <v>19000</v>
      </c>
      <c r="E58" s="36">
        <v>45881</v>
      </c>
      <c r="F58" t="s">
        <v>253</v>
      </c>
      <c r="I58" s="22">
        <f t="shared" si="18"/>
        <v>19000</v>
      </c>
    </row>
    <row r="59" spans="1:9" x14ac:dyDescent="0.35">
      <c r="A59" s="7" t="s">
        <v>195</v>
      </c>
      <c r="B59" s="7">
        <v>1</v>
      </c>
      <c r="D59" s="22">
        <f>Loan!J21/Loan!H21</f>
        <v>28333.333333333332</v>
      </c>
      <c r="E59" s="36">
        <v>45833</v>
      </c>
      <c r="F59" t="s">
        <v>254</v>
      </c>
      <c r="I59" s="22">
        <f>D59</f>
        <v>28333.333333333332</v>
      </c>
    </row>
    <row r="60" spans="1:9" x14ac:dyDescent="0.35">
      <c r="A60" s="7" t="s">
        <v>195</v>
      </c>
      <c r="B60" s="7">
        <v>2</v>
      </c>
      <c r="D60" s="22">
        <f>D59</f>
        <v>28333.333333333332</v>
      </c>
      <c r="E60" s="36">
        <v>45868</v>
      </c>
      <c r="F60" t="s">
        <v>254</v>
      </c>
      <c r="I60" s="22">
        <f t="shared" ref="I60:I61" si="19">D60</f>
        <v>28333.333333333332</v>
      </c>
    </row>
    <row r="61" spans="1:9" x14ac:dyDescent="0.35">
      <c r="A61" s="7" t="s">
        <v>195</v>
      </c>
      <c r="B61" s="7">
        <v>3</v>
      </c>
      <c r="D61" s="22">
        <f>D59</f>
        <v>28333.333333333332</v>
      </c>
      <c r="E61" s="36">
        <v>45903</v>
      </c>
      <c r="F61" t="s">
        <v>254</v>
      </c>
      <c r="I61" s="22">
        <f t="shared" si="19"/>
        <v>28333.333333333332</v>
      </c>
    </row>
    <row r="62" spans="1:9" x14ac:dyDescent="0.35">
      <c r="A6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2026-09-11T13:16:50Z</dcterms:modified>
</cp:coreProperties>
</file>