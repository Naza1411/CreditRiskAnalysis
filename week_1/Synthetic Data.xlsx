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3" activeTab="8"/>
  </bookViews>
  <sheets>
    <sheet name="Customer Datagrain" sheetId="3" r:id="rId1"/>
    <sheet name="Application Datagrain" sheetId="6" r:id="rId2"/>
    <sheet name="Loan Datagrain" sheetId="7" r:id="rId3"/>
    <sheet name="Installment Datagrain" sheetId="8" r:id="rId4"/>
    <sheet name="Customer" sheetId="4" r:id="rId5"/>
    <sheet name="Application" sheetId="5" r:id="rId6"/>
    <sheet name="Loan" sheetId="2" r:id="rId7"/>
    <sheet name="Installment" sheetId="12" r:id="rId8"/>
    <sheet name="Formula Allocation" sheetId="13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3" i="12" l="1"/>
  <c r="M64" i="12"/>
  <c r="O63" i="12"/>
  <c r="O64" i="12"/>
  <c r="N19" i="12"/>
  <c r="N63" i="12"/>
  <c r="N64" i="12"/>
  <c r="N13" i="12"/>
  <c r="J35" i="12"/>
  <c r="M13" i="12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D34" i="12"/>
  <c r="I33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H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  <c r="H16" i="12"/>
</calcChain>
</file>

<file path=xl/sharedStrings.xml><?xml version="1.0" encoding="utf-8"?>
<sst xmlns="http://schemas.openxmlformats.org/spreadsheetml/2006/main" count="677" uniqueCount="261">
  <si>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</si>
  <si>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</si>
  <si>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</si>
  <si>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</si>
  <si>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</si>
  <si>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</si>
  <si>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</si>
  <si>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</si>
  <si>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</si>
  <si>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</si>
  <si>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</si>
  <si>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</si>
  <si>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</si>
  <si>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</si>
  <si>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</si>
  <si>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</si>
  <si>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</si>
  <si>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</si>
  <si>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</si>
  <si>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</si>
  <si>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</si>
  <si>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</si>
  <si>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</si>
  <si>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</si>
  <si>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</si>
  <si>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</si>
  <si>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</si>
  <si>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</si>
  <si>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</si>
  <si>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</si>
  <si>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</si>
  <si>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</si>
  <si>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</si>
  <si>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</si>
  <si>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</si>
  <si>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</si>
  <si>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</si>
  <si>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</si>
  <si>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</si>
  <si>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</si>
  <si>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</si>
  <si>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</si>
  <si>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</si>
  <si>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</si>
  <si>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</si>
  <si>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</si>
  <si>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</si>
  <si>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</si>
  <si>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</si>
  <si>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</si>
  <si>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</si>
  <si>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</si>
  <si>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</si>
  <si>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</si>
  <si>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</si>
  <si>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</si>
  <si>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</si>
  <si>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</si>
  <si>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</si>
  <si>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</si>
  <si>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</si>
  <si>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</si>
  <si>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</si>
  <si>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</si>
  <si>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</si>
  <si>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</si>
  <si>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</si>
  <si>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</si>
  <si>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</si>
  <si>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</si>
  <si>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</si>
  <si>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</si>
  <si>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</si>
  <si>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</si>
  <si>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</si>
  <si>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</si>
  <si>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</si>
  <si>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</si>
  <si>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</si>
  <si>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</si>
  <si>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</si>
  <si>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</si>
  <si>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</si>
  <si>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</si>
  <si>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</si>
  <si>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</si>
  <si>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</si>
  <si>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</si>
  <si>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</si>
  <si>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</si>
  <si>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</si>
  <si>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</si>
  <si>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</si>
  <si>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</si>
  <si>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</si>
  <si>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</si>
  <si>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</si>
  <si>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</si>
  <si>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</si>
  <si>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</si>
  <si>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</si>
  <si>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</si>
  <si>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</si>
  <si>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</si>
  <si>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</si>
  <si>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</si>
  <si>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</si>
  <si>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</si>
  <si>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</si>
  <si>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</si>
  <si>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</si>
  <si>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</si>
  <si>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</si>
  <si>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</si>
  <si>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</si>
  <si>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</si>
  <si>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</si>
  <si>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</si>
  <si>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</si>
  <si>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</si>
  <si>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</si>
  <si>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</si>
  <si>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</si>
  <si>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</si>
  <si>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</si>
  <si>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</si>
  <si>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</si>
  <si>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</si>
  <si>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</si>
  <si>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</si>
  <si>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</si>
  <si>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</si>
  <si>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</si>
  <si>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</si>
  <si>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</si>
  <si>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</si>
  <si>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</si>
  <si>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</si>
  <si>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</si>
  <si>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</si>
  <si>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</si>
  <si>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</si>
  <si>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</si>
  <si>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</si>
  <si>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</si>
  <si>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</si>
  <si>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</si>
  <si>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</si>
  <si>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</si>
  <si>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payment_date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</si>
  <si>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</si>
  <si>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</si>
  <si>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</si>
  <si>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</si>
  <si>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</si>
  <si>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</si>
  <si>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</si>
  <si>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</si>
  <si>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</si>
  <si>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</si>
  <si>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</si>
  <si>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</si>
  <si>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</si>
  <si>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</si>
  <si>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</si>
  <si>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</si>
  <si>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</si>
  <si>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</si>
  <si>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</si>
  <si>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</si>
  <si>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</si>
  <si>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</si>
  <si>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</si>
  <si>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</si>
  <si>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</si>
  <si>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</si>
  <si>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</si>
  <si>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</si>
  <si>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</si>
  <si>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</si>
  <si>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</si>
  <si>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</si>
  <si>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</si>
  <si>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</si>
  <si>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</si>
  <si>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</si>
  <si>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</si>
  <si>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</si>
  <si>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</si>
  <si>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</si>
  <si>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</si>
  <si>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</si>
  <si>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</si>
  <si>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</si>
  <si>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</si>
  <si>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</si>
  <si>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</si>
  <si>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</si>
  <si>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</si>
  <si>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</si>
  <si>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</si>
  <si>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</si>
  <si>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</si>
  <si>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</si>
  <si>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</si>
  <si>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</si>
  <si>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</si>
  <si>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</si>
  <si>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</si>
  <si>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</si>
  <si>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</si>
  <si>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</si>
  <si>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</si>
  <si>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</si>
  <si>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</si>
  <si>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</si>
  <si>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</si>
  <si>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</si>
  <si>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</si>
  <si>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</si>
  <si>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</si>
  <si>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</si>
  <si>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</si>
  <si>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</si>
  <si>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</si>
  <si>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</si>
  <si>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</si>
  <si>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</si>
  <si>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</si>
  <si>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</si>
  <si>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</si>
  <si>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</si>
  <si>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</si>
  <si>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</si>
  <si>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</si>
  <si>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</si>
  <si>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</si>
  <si>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</si>
  <si>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</si>
  <si>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</si>
  <si>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</si>
  <si>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</si>
  <si>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</si>
  <si>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</si>
  <si>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</si>
  <si>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</si>
  <si>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</si>
  <si>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</si>
  <si>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</si>
  <si>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</si>
  <si>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</si>
  <si>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</si>
  <si>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</si>
  <si>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</si>
  <si>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</si>
  <si>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</si>
  <si>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</si>
  <si>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Sensitive</t>
  </si>
  <si>
    <t>cumulative_arrears_amount</t>
  </si>
  <si>
    <t>reporting date</t>
  </si>
  <si>
    <t xml:space="preserve">reporting_date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</si>
</sst>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13"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" formatCode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Table1" displayName="Table1" ref="A1:O64" totalsRowShown="0">
  <autoFilter ref="A1:O64"/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6" dataCellStyle="Comma"/>
    <tableColumn id="8" name="outstanding" dataDxfId="5" dataCellStyle="Comma"/>
    <tableColumn id="9" name="cumulative_due" dataDxfId="2" dataCellStyle="Comma"/>
    <tableColumn id="10" name="cumulative_paid" dataDxfId="0" dataCellStyle="Comma"/>
    <tableColumn id="11" name="cumulative_arrears_amount" dataDxfId="1" dataCellStyle="Comma"/>
    <tableColumn id="12" name="Oldest Unpaid Due Date" dataDxfId="4"/>
    <tableColumn id="13" name="DPD" dataDxfId="7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3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10" sqref="A10:F10"/>
    </sheetView>
  </sheetViews>
  <sheetFormatPr defaultRowHeight="14.5" x14ac:dyDescent="0.35"/>
  <cols>
    <col min="1" max="1" width="18.81640625" style="3" bestFit="1" customWidth="1"/>
    <col min="2" max="2" width="24.6328125" style="3" bestFit="1" customWidth="1"/>
    <col min="3" max="3" width="9.26953125" style="3" bestFit="1" customWidth="1"/>
    <col min="4" max="4" width="8.90625" style="3" bestFit="1" customWidth="1"/>
    <col min="5" max="5" width="10.453125" style="3" bestFit="1" customWidth="1"/>
    <col min="6" max="6" width="9.08984375" style="3" bestFit="1" customWidth="1"/>
    <col min="7" max="16384" width="8.7265625" style="3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 x14ac:dyDescent="0.35">
      <c r="A2" s="4" t="s">
        <v>6</v>
      </c>
      <c r="B2" s="4" t="s">
        <v>36</v>
      </c>
      <c r="C2" s="4" t="s">
        <v>151</v>
      </c>
      <c r="D2" s="4" t="s">
        <v>37</v>
      </c>
      <c r="E2" s="4" t="s">
        <v>7</v>
      </c>
      <c r="F2" s="4" t="s">
        <v>38</v>
      </c>
    </row>
    <row r="3" spans="1:6" x14ac:dyDescent="0.35">
      <c r="A3" s="4" t="s">
        <v>0</v>
      </c>
      <c r="B3" s="4" t="s">
        <v>39</v>
      </c>
      <c r="C3" s="4" t="s">
        <v>40</v>
      </c>
      <c r="D3" s="4" t="s">
        <v>37</v>
      </c>
      <c r="E3" s="5">
        <v>45672</v>
      </c>
      <c r="F3" s="4" t="s">
        <v>38</v>
      </c>
    </row>
    <row r="4" spans="1:6" x14ac:dyDescent="0.35">
      <c r="A4" s="4" t="s">
        <v>1</v>
      </c>
      <c r="B4" s="4" t="s">
        <v>41</v>
      </c>
      <c r="C4" s="4" t="s">
        <v>151</v>
      </c>
      <c r="D4" s="4" t="s">
        <v>37</v>
      </c>
      <c r="E4" s="4" t="s">
        <v>16</v>
      </c>
      <c r="F4" s="4" t="s">
        <v>38</v>
      </c>
    </row>
    <row r="5" spans="1:6" x14ac:dyDescent="0.35">
      <c r="A5" s="4" t="s">
        <v>2</v>
      </c>
      <c r="B5" s="4" t="s">
        <v>42</v>
      </c>
      <c r="C5" s="4" t="s">
        <v>43</v>
      </c>
      <c r="D5" s="4" t="s">
        <v>37</v>
      </c>
      <c r="E5" s="4">
        <v>34</v>
      </c>
      <c r="F5" s="4" t="s">
        <v>44</v>
      </c>
    </row>
    <row r="6" spans="1:6" x14ac:dyDescent="0.35">
      <c r="A6" s="4" t="s">
        <v>3</v>
      </c>
      <c r="B6" s="4" t="s">
        <v>45</v>
      </c>
      <c r="C6" s="4" t="s">
        <v>151</v>
      </c>
      <c r="D6" s="4" t="s">
        <v>37</v>
      </c>
      <c r="E6" s="4" t="s">
        <v>23</v>
      </c>
      <c r="F6" s="4" t="s">
        <v>44</v>
      </c>
    </row>
    <row r="7" spans="1:6" x14ac:dyDescent="0.35">
      <c r="A7" s="4" t="s">
        <v>4</v>
      </c>
      <c r="B7" s="4" t="s">
        <v>47</v>
      </c>
      <c r="C7" s="4" t="s">
        <v>150</v>
      </c>
      <c r="D7" s="4" t="s">
        <v>37</v>
      </c>
      <c r="E7" s="4">
        <v>350000</v>
      </c>
      <c r="F7" s="4" t="s">
        <v>44</v>
      </c>
    </row>
    <row r="8" spans="1:6" x14ac:dyDescent="0.35">
      <c r="A8" s="4" t="s">
        <v>5</v>
      </c>
      <c r="B8" s="4" t="s">
        <v>49</v>
      </c>
      <c r="C8" s="4" t="s">
        <v>151</v>
      </c>
      <c r="D8" s="4" t="s">
        <v>37</v>
      </c>
      <c r="E8" s="4" t="s">
        <v>25</v>
      </c>
      <c r="F8" s="4" t="s">
        <v>44</v>
      </c>
    </row>
    <row r="9" spans="1:6" x14ac:dyDescent="0.35">
      <c r="A9" s="4" t="s">
        <v>50</v>
      </c>
      <c r="B9" s="4" t="s">
        <v>51</v>
      </c>
      <c r="C9" s="4" t="s">
        <v>43</v>
      </c>
      <c r="D9" s="4" t="s">
        <v>37</v>
      </c>
      <c r="E9" s="4">
        <v>18</v>
      </c>
      <c r="F9" s="4" t="s">
        <v>38</v>
      </c>
    </row>
    <row r="10" spans="1:6" x14ac:dyDescent="0.35">
      <c r="A10" s="4" t="s">
        <v>52</v>
      </c>
      <c r="B10" s="4" t="s">
        <v>53</v>
      </c>
      <c r="C10" s="4" t="s">
        <v>151</v>
      </c>
      <c r="D10" s="4" t="s">
        <v>37</v>
      </c>
      <c r="E10" s="4" t="s">
        <v>54</v>
      </c>
      <c r="F10" s="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sqref="A1:F1"/>
    </sheetView>
  </sheetViews>
  <sheetFormatPr defaultRowHeight="14.5" x14ac:dyDescent="0.35"/>
  <cols>
    <col min="1" max="1" width="20.453125" style="6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109</v>
      </c>
      <c r="F1" s="21" t="s">
        <v>257</v>
      </c>
    </row>
    <row r="2" spans="1:6" x14ac:dyDescent="0.35">
      <c r="A2" s="4" t="s">
        <v>56</v>
      </c>
      <c r="B2" s="4" t="s">
        <v>110</v>
      </c>
      <c r="C2" s="4" t="s">
        <v>151</v>
      </c>
      <c r="D2" s="4" t="s">
        <v>111</v>
      </c>
      <c r="E2" s="4" t="s">
        <v>66</v>
      </c>
      <c r="F2" s="4" t="s">
        <v>38</v>
      </c>
    </row>
    <row r="3" spans="1:6" x14ac:dyDescent="0.35">
      <c r="A3" s="4" t="s">
        <v>6</v>
      </c>
      <c r="B3" s="4" t="s">
        <v>112</v>
      </c>
      <c r="C3" s="4" t="s">
        <v>151</v>
      </c>
      <c r="D3" s="4" t="s">
        <v>111</v>
      </c>
      <c r="E3" s="4" t="s">
        <v>7</v>
      </c>
      <c r="F3" s="4" t="s">
        <v>38</v>
      </c>
    </row>
    <row r="4" spans="1:6" x14ac:dyDescent="0.35">
      <c r="A4" s="4" t="s">
        <v>89</v>
      </c>
      <c r="B4" s="4" t="s">
        <v>113</v>
      </c>
      <c r="C4" s="4" t="s">
        <v>40</v>
      </c>
      <c r="D4" s="4" t="s">
        <v>111</v>
      </c>
      <c r="E4" s="5">
        <v>45839</v>
      </c>
      <c r="F4" s="4" t="s">
        <v>38</v>
      </c>
    </row>
    <row r="5" spans="1:6" x14ac:dyDescent="0.35">
      <c r="A5" s="4" t="s">
        <v>28</v>
      </c>
      <c r="B5" s="4" t="s">
        <v>114</v>
      </c>
      <c r="C5" s="4" t="s">
        <v>151</v>
      </c>
      <c r="D5" s="4" t="s">
        <v>111</v>
      </c>
      <c r="E5" s="4" t="s">
        <v>96</v>
      </c>
      <c r="F5" s="4" t="s">
        <v>38</v>
      </c>
    </row>
    <row r="6" spans="1:6" x14ac:dyDescent="0.35">
      <c r="A6" s="4" t="s">
        <v>29</v>
      </c>
      <c r="B6" s="4" t="s">
        <v>115</v>
      </c>
      <c r="C6" s="4" t="s">
        <v>48</v>
      </c>
      <c r="D6" s="4" t="s">
        <v>111</v>
      </c>
      <c r="E6" s="4">
        <v>300000</v>
      </c>
      <c r="F6" s="4" t="s">
        <v>44</v>
      </c>
    </row>
    <row r="7" spans="1:6" x14ac:dyDescent="0.35">
      <c r="A7" s="4" t="s">
        <v>61</v>
      </c>
      <c r="B7" s="4" t="s">
        <v>116</v>
      </c>
      <c r="C7" s="4" t="s">
        <v>43</v>
      </c>
      <c r="D7" s="4" t="s">
        <v>111</v>
      </c>
      <c r="E7" s="4">
        <v>12</v>
      </c>
      <c r="F7" s="4" t="s">
        <v>38</v>
      </c>
    </row>
    <row r="8" spans="1:6" x14ac:dyDescent="0.35">
      <c r="A8" s="4" t="s">
        <v>90</v>
      </c>
      <c r="B8" s="4" t="s">
        <v>117</v>
      </c>
      <c r="C8" s="4" t="s">
        <v>43</v>
      </c>
      <c r="D8" s="4" t="s">
        <v>111</v>
      </c>
      <c r="E8" s="4">
        <v>720</v>
      </c>
      <c r="F8" s="4" t="s">
        <v>44</v>
      </c>
    </row>
    <row r="9" spans="1:6" x14ac:dyDescent="0.35">
      <c r="A9" s="4" t="s">
        <v>91</v>
      </c>
      <c r="B9" s="4" t="s">
        <v>118</v>
      </c>
      <c r="C9" s="4" t="s">
        <v>150</v>
      </c>
      <c r="D9" s="4" t="s">
        <v>111</v>
      </c>
      <c r="E9" s="4">
        <v>20000</v>
      </c>
      <c r="F9" s="4" t="s">
        <v>44</v>
      </c>
    </row>
    <row r="10" spans="1:6" x14ac:dyDescent="0.35">
      <c r="A10" s="4" t="s">
        <v>92</v>
      </c>
      <c r="B10" s="4" t="s">
        <v>119</v>
      </c>
      <c r="C10" s="4" t="s">
        <v>150</v>
      </c>
      <c r="D10" s="4" t="s">
        <v>111</v>
      </c>
      <c r="E10" s="4">
        <v>29000</v>
      </c>
      <c r="F10" s="4" t="s">
        <v>38</v>
      </c>
    </row>
    <row r="11" spans="1:6" x14ac:dyDescent="0.35">
      <c r="A11" s="4" t="s">
        <v>93</v>
      </c>
      <c r="B11" s="4" t="s">
        <v>120</v>
      </c>
      <c r="C11" s="4" t="s">
        <v>151</v>
      </c>
      <c r="D11" s="4" t="s">
        <v>111</v>
      </c>
      <c r="E11" s="4" t="s">
        <v>97</v>
      </c>
      <c r="F11" s="4" t="s">
        <v>38</v>
      </c>
    </row>
    <row r="12" spans="1:6" x14ac:dyDescent="0.35">
      <c r="A12" s="4" t="s">
        <v>94</v>
      </c>
      <c r="B12" s="4" t="s">
        <v>122</v>
      </c>
      <c r="C12" s="4" t="s">
        <v>151</v>
      </c>
      <c r="D12" s="4" t="s">
        <v>111</v>
      </c>
      <c r="E12" s="4" t="s">
        <v>101</v>
      </c>
      <c r="F12" s="4" t="s">
        <v>38</v>
      </c>
    </row>
    <row r="13" spans="1:6" x14ac:dyDescent="0.35">
      <c r="A13" s="4" t="s">
        <v>95</v>
      </c>
      <c r="B13" s="4" t="s">
        <v>123</v>
      </c>
      <c r="C13" s="4" t="s">
        <v>124</v>
      </c>
      <c r="D13" s="4" t="s">
        <v>111</v>
      </c>
      <c r="E13" s="4">
        <v>1</v>
      </c>
      <c r="F1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3" bestFit="1" customWidth="1"/>
    <col min="2" max="2" width="34.08984375" style="3" bestFit="1" customWidth="1"/>
    <col min="3" max="3" width="12.08984375" style="3" bestFit="1" customWidth="1"/>
    <col min="4" max="4" width="5.363281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125</v>
      </c>
      <c r="C2" s="4" t="s">
        <v>151</v>
      </c>
      <c r="D2" s="4" t="s">
        <v>126</v>
      </c>
      <c r="E2" s="4" t="s">
        <v>65</v>
      </c>
      <c r="F2" s="4" t="s">
        <v>38</v>
      </c>
    </row>
    <row r="3" spans="1:6" x14ac:dyDescent="0.35">
      <c r="A3" s="4" t="s">
        <v>56</v>
      </c>
      <c r="B3" s="4" t="s">
        <v>127</v>
      </c>
      <c r="C3" s="4" t="s">
        <v>151</v>
      </c>
      <c r="D3" s="4" t="s">
        <v>126</v>
      </c>
      <c r="E3" s="4" t="s">
        <v>66</v>
      </c>
      <c r="F3" s="4" t="s">
        <v>38</v>
      </c>
    </row>
    <row r="4" spans="1:6" x14ac:dyDescent="0.35">
      <c r="A4" s="4" t="s">
        <v>6</v>
      </c>
      <c r="B4" s="4" t="s">
        <v>128</v>
      </c>
      <c r="C4" s="4" t="s">
        <v>151</v>
      </c>
      <c r="D4" s="4" t="s">
        <v>126</v>
      </c>
      <c r="E4" s="4" t="s">
        <v>7</v>
      </c>
      <c r="F4" s="4" t="s">
        <v>38</v>
      </c>
    </row>
    <row r="5" spans="1:6" x14ac:dyDescent="0.35">
      <c r="A5" s="4" t="s">
        <v>57</v>
      </c>
      <c r="B5" s="4" t="s">
        <v>129</v>
      </c>
      <c r="C5" s="4" t="s">
        <v>40</v>
      </c>
      <c r="D5" s="4" t="s">
        <v>126</v>
      </c>
      <c r="E5" s="5">
        <v>45840</v>
      </c>
      <c r="F5" s="4" t="s">
        <v>38</v>
      </c>
    </row>
    <row r="6" spans="1:6" x14ac:dyDescent="0.35">
      <c r="A6" s="4" t="s">
        <v>58</v>
      </c>
      <c r="B6" s="4" t="s">
        <v>130</v>
      </c>
      <c r="C6" s="4" t="s">
        <v>150</v>
      </c>
      <c r="D6" s="4" t="s">
        <v>126</v>
      </c>
      <c r="E6" s="4">
        <v>300000</v>
      </c>
      <c r="F6" s="4" t="s">
        <v>44</v>
      </c>
    </row>
    <row r="7" spans="1:6" x14ac:dyDescent="0.35">
      <c r="A7" s="4" t="s">
        <v>59</v>
      </c>
      <c r="B7" s="4" t="s">
        <v>131</v>
      </c>
      <c r="C7" s="4" t="s">
        <v>150</v>
      </c>
      <c r="D7" s="4" t="s">
        <v>126</v>
      </c>
      <c r="E7" s="4">
        <v>24</v>
      </c>
      <c r="F7" s="4" t="s">
        <v>38</v>
      </c>
    </row>
    <row r="8" spans="1:6" x14ac:dyDescent="0.35">
      <c r="A8" s="4" t="s">
        <v>60</v>
      </c>
      <c r="B8" s="4" t="s">
        <v>132</v>
      </c>
      <c r="C8" s="4" t="s">
        <v>150</v>
      </c>
      <c r="D8" s="4" t="s">
        <v>126</v>
      </c>
      <c r="E8" s="4">
        <v>5000</v>
      </c>
      <c r="F8" s="4" t="s">
        <v>38</v>
      </c>
    </row>
    <row r="9" spans="1:6" x14ac:dyDescent="0.35">
      <c r="A9" s="4" t="s">
        <v>61</v>
      </c>
      <c r="B9" s="4" t="s">
        <v>133</v>
      </c>
      <c r="C9" s="4" t="s">
        <v>43</v>
      </c>
      <c r="D9" s="4" t="s">
        <v>126</v>
      </c>
      <c r="E9" s="4">
        <v>12</v>
      </c>
      <c r="F9" s="4" t="s">
        <v>38</v>
      </c>
    </row>
    <row r="10" spans="1:6" x14ac:dyDescent="0.35">
      <c r="A10" s="4" t="s">
        <v>62</v>
      </c>
      <c r="B10" s="4" t="s">
        <v>134</v>
      </c>
      <c r="C10" s="4" t="s">
        <v>40</v>
      </c>
      <c r="D10" s="4" t="s">
        <v>126</v>
      </c>
      <c r="E10" s="5">
        <v>46205</v>
      </c>
      <c r="F10" s="4" t="s">
        <v>38</v>
      </c>
    </row>
    <row r="11" spans="1:6" x14ac:dyDescent="0.35">
      <c r="A11" s="4" t="s">
        <v>63</v>
      </c>
      <c r="B11" s="4" t="s">
        <v>135</v>
      </c>
      <c r="C11" s="4" t="s">
        <v>121</v>
      </c>
      <c r="D11" s="4" t="s">
        <v>126</v>
      </c>
      <c r="E11" s="4" t="s">
        <v>67</v>
      </c>
      <c r="F11" s="4" t="s">
        <v>38</v>
      </c>
    </row>
    <row r="12" spans="1:6" x14ac:dyDescent="0.35">
      <c r="A12" s="4" t="s">
        <v>64</v>
      </c>
      <c r="B12" s="4" t="s">
        <v>136</v>
      </c>
      <c r="C12" s="4" t="s">
        <v>40</v>
      </c>
      <c r="D12" s="4" t="s">
        <v>126</v>
      </c>
      <c r="E12" s="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3" bestFit="1" customWidth="1"/>
    <col min="2" max="2" width="31.54296875" style="3" bestFit="1" customWidth="1"/>
    <col min="3" max="3" width="9.26953125" style="3" bestFit="1" customWidth="1"/>
    <col min="4" max="4" width="9.72656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137</v>
      </c>
      <c r="C2" s="4" t="s">
        <v>151</v>
      </c>
      <c r="D2" s="4" t="s">
        <v>138</v>
      </c>
      <c r="E2" s="4" t="s">
        <v>65</v>
      </c>
      <c r="F2" s="4" t="s">
        <v>38</v>
      </c>
    </row>
    <row r="3" spans="1:6" x14ac:dyDescent="0.35">
      <c r="A3" s="4" t="s">
        <v>139</v>
      </c>
      <c r="B3" s="4" t="s">
        <v>140</v>
      </c>
      <c r="C3" s="4" t="s">
        <v>43</v>
      </c>
      <c r="D3" s="4" t="s">
        <v>138</v>
      </c>
      <c r="E3" s="4">
        <v>1</v>
      </c>
      <c r="F3" s="4" t="s">
        <v>38</v>
      </c>
    </row>
    <row r="4" spans="1:6" x14ac:dyDescent="0.35">
      <c r="A4" s="4" t="s">
        <v>141</v>
      </c>
      <c r="B4" s="4" t="s">
        <v>142</v>
      </c>
      <c r="C4" s="4" t="s">
        <v>40</v>
      </c>
      <c r="D4" s="4" t="s">
        <v>138</v>
      </c>
      <c r="E4" s="5">
        <v>45871</v>
      </c>
      <c r="F4" s="4" t="s">
        <v>38</v>
      </c>
    </row>
    <row r="5" spans="1:6" x14ac:dyDescent="0.35">
      <c r="A5" s="4" t="s">
        <v>143</v>
      </c>
      <c r="B5" s="4" t="s">
        <v>144</v>
      </c>
      <c r="C5" s="4" t="s">
        <v>150</v>
      </c>
      <c r="D5" s="4" t="s">
        <v>138</v>
      </c>
      <c r="E5" s="4">
        <v>25000</v>
      </c>
      <c r="F5" s="4" t="s">
        <v>38</v>
      </c>
    </row>
    <row r="6" spans="1:6" x14ac:dyDescent="0.35">
      <c r="A6" s="4" t="s">
        <v>145</v>
      </c>
      <c r="B6" s="4" t="s">
        <v>146</v>
      </c>
      <c r="C6" s="4" t="s">
        <v>150</v>
      </c>
      <c r="D6" s="4" t="s">
        <v>138</v>
      </c>
      <c r="E6" s="4">
        <v>6000</v>
      </c>
      <c r="F6" s="4" t="s">
        <v>38</v>
      </c>
    </row>
    <row r="7" spans="1:6" x14ac:dyDescent="0.35">
      <c r="A7" s="4" t="s">
        <v>147</v>
      </c>
      <c r="B7" s="4" t="s">
        <v>148</v>
      </c>
      <c r="C7" s="4" t="s">
        <v>150</v>
      </c>
      <c r="D7" s="4" t="s">
        <v>138</v>
      </c>
      <c r="E7" s="4">
        <v>500</v>
      </c>
      <c r="F7" s="4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E17" sqref="E17"/>
    </sheetView>
  </sheetViews>
  <sheetFormatPr defaultRowHeight="14.5" x14ac:dyDescent="0.35"/>
  <cols>
    <col min="1" max="1" width="11.26953125" style="3" bestFit="1" customWidth="1"/>
    <col min="2" max="2" width="17.90625" style="3" bestFit="1" customWidth="1"/>
    <col min="5" max="5" width="16.26953125" style="3" bestFit="1" customWidth="1"/>
    <col min="6" max="6" width="15" style="13" bestFit="1" customWidth="1"/>
    <col min="7" max="7" width="17.7265625" style="3" bestFit="1" customWidth="1"/>
    <col min="8" max="8" width="19" style="3" bestFit="1" customWidth="1"/>
    <col min="9" max="9" width="11.08984375" style="3" bestFit="1" customWidth="1"/>
  </cols>
  <sheetData>
    <row r="1" spans="1:9" x14ac:dyDescent="0.35">
      <c r="A1" s="21" t="s">
        <v>6</v>
      </c>
      <c r="B1" s="21" t="s">
        <v>193</v>
      </c>
      <c r="C1" s="30" t="s">
        <v>1</v>
      </c>
      <c r="D1" s="30" t="s">
        <v>2</v>
      </c>
      <c r="E1" s="21" t="s">
        <v>3</v>
      </c>
      <c r="F1" s="32" t="s">
        <v>4</v>
      </c>
      <c r="G1" s="21" t="s">
        <v>5</v>
      </c>
      <c r="H1" s="21" t="s">
        <v>50</v>
      </c>
      <c r="I1" s="21" t="s">
        <v>0</v>
      </c>
    </row>
    <row r="2" spans="1:9" x14ac:dyDescent="0.35">
      <c r="A2" s="4" t="s">
        <v>7</v>
      </c>
      <c r="B2" s="5" t="s">
        <v>194</v>
      </c>
      <c r="C2" s="1" t="s">
        <v>16</v>
      </c>
      <c r="D2" s="1">
        <v>32</v>
      </c>
      <c r="E2" s="4" t="s">
        <v>23</v>
      </c>
      <c r="F2" s="12">
        <v>250000</v>
      </c>
      <c r="G2" s="4" t="s">
        <v>25</v>
      </c>
      <c r="H2" s="4">
        <v>18</v>
      </c>
      <c r="I2" s="5">
        <v>46025</v>
      </c>
    </row>
    <row r="3" spans="1:9" x14ac:dyDescent="0.35">
      <c r="A3" s="4" t="s">
        <v>8</v>
      </c>
      <c r="B3" s="5" t="s">
        <v>195</v>
      </c>
      <c r="C3" s="1" t="s">
        <v>17</v>
      </c>
      <c r="D3" s="1">
        <v>27</v>
      </c>
      <c r="E3" s="4" t="s">
        <v>22</v>
      </c>
      <c r="F3" s="12">
        <v>180000</v>
      </c>
      <c r="G3" s="4" t="s">
        <v>26</v>
      </c>
      <c r="H3" s="4">
        <v>17</v>
      </c>
      <c r="I3" s="5">
        <v>46025</v>
      </c>
    </row>
    <row r="4" spans="1:9" x14ac:dyDescent="0.35">
      <c r="A4" s="4" t="s">
        <v>9</v>
      </c>
      <c r="B4" s="5" t="s">
        <v>196</v>
      </c>
      <c r="C4" s="1" t="s">
        <v>18</v>
      </c>
      <c r="D4" s="1">
        <v>41</v>
      </c>
      <c r="E4" s="4" t="s">
        <v>84</v>
      </c>
      <c r="F4" s="12">
        <v>520000</v>
      </c>
      <c r="G4" s="4" t="s">
        <v>25</v>
      </c>
      <c r="H4" s="4">
        <v>16</v>
      </c>
      <c r="I4" s="5">
        <v>46055</v>
      </c>
    </row>
    <row r="5" spans="1:9" x14ac:dyDescent="0.35">
      <c r="A5" s="4" t="s">
        <v>10</v>
      </c>
      <c r="B5" s="5" t="s">
        <v>197</v>
      </c>
      <c r="C5" s="1" t="s">
        <v>19</v>
      </c>
      <c r="D5" s="1">
        <v>36</v>
      </c>
      <c r="E5" s="4" t="s">
        <v>46</v>
      </c>
      <c r="F5" s="12">
        <v>320000</v>
      </c>
      <c r="G5" s="4" t="s">
        <v>25</v>
      </c>
      <c r="H5" s="4">
        <v>15</v>
      </c>
      <c r="I5" s="5">
        <v>46054</v>
      </c>
    </row>
    <row r="6" spans="1:9" x14ac:dyDescent="0.35">
      <c r="A6" s="4" t="s">
        <v>11</v>
      </c>
      <c r="B6" s="5" t="s">
        <v>198</v>
      </c>
      <c r="C6" s="1" t="s">
        <v>20</v>
      </c>
      <c r="D6" s="1">
        <v>29</v>
      </c>
      <c r="E6" s="4" t="s">
        <v>24</v>
      </c>
      <c r="F6" s="12">
        <v>150000</v>
      </c>
      <c r="G6" s="4" t="s">
        <v>27</v>
      </c>
      <c r="H6" s="4">
        <v>14</v>
      </c>
      <c r="I6" s="5">
        <v>45728</v>
      </c>
    </row>
    <row r="7" spans="1:9" x14ac:dyDescent="0.35">
      <c r="A7" s="4" t="s">
        <v>12</v>
      </c>
      <c r="B7" s="5" t="s">
        <v>199</v>
      </c>
      <c r="C7" s="1" t="s">
        <v>21</v>
      </c>
      <c r="D7" s="1">
        <v>38</v>
      </c>
      <c r="E7" s="4" t="s">
        <v>84</v>
      </c>
      <c r="F7" s="12">
        <v>470000</v>
      </c>
      <c r="G7" s="4" t="s">
        <v>26</v>
      </c>
      <c r="H7" s="4">
        <v>13</v>
      </c>
      <c r="I7" s="5">
        <v>45759</v>
      </c>
    </row>
    <row r="8" spans="1:9" x14ac:dyDescent="0.35">
      <c r="A8" s="4" t="s">
        <v>13</v>
      </c>
      <c r="B8" s="5" t="s">
        <v>200</v>
      </c>
      <c r="C8" s="1" t="s">
        <v>85</v>
      </c>
      <c r="D8" s="1">
        <v>24</v>
      </c>
      <c r="E8" s="4" t="s">
        <v>23</v>
      </c>
      <c r="F8" s="12">
        <v>170000</v>
      </c>
      <c r="G8" s="4" t="s">
        <v>25</v>
      </c>
      <c r="H8" s="4">
        <v>12</v>
      </c>
      <c r="I8" s="5">
        <v>45787</v>
      </c>
    </row>
    <row r="9" spans="1:9" x14ac:dyDescent="0.35">
      <c r="A9" s="4" t="s">
        <v>14</v>
      </c>
      <c r="B9" s="5" t="s">
        <v>201</v>
      </c>
      <c r="C9" s="1" t="s">
        <v>86</v>
      </c>
      <c r="D9" s="1">
        <v>45</v>
      </c>
      <c r="E9" s="4" t="s">
        <v>87</v>
      </c>
      <c r="F9" s="12">
        <v>600000</v>
      </c>
      <c r="G9" s="4" t="s">
        <v>26</v>
      </c>
      <c r="H9" s="4">
        <v>11</v>
      </c>
      <c r="I9" s="5">
        <v>45785</v>
      </c>
    </row>
    <row r="10" spans="1:9" x14ac:dyDescent="0.35">
      <c r="A10" s="4" t="s">
        <v>15</v>
      </c>
      <c r="B10" s="5" t="s">
        <v>202</v>
      </c>
      <c r="C10" s="1" t="s">
        <v>88</v>
      </c>
      <c r="D10" s="1">
        <v>30</v>
      </c>
      <c r="E10" s="4" t="s">
        <v>22</v>
      </c>
      <c r="F10" s="12">
        <v>210000</v>
      </c>
      <c r="G10" s="4" t="s">
        <v>26</v>
      </c>
      <c r="H10" s="4">
        <v>10</v>
      </c>
      <c r="I10" s="5">
        <v>45813</v>
      </c>
    </row>
    <row r="11" spans="1:9" x14ac:dyDescent="0.35">
      <c r="A11" s="4" t="s">
        <v>83</v>
      </c>
      <c r="B11" s="3" t="s">
        <v>203</v>
      </c>
      <c r="C11" s="1" t="s">
        <v>108</v>
      </c>
      <c r="D11" s="1">
        <v>34</v>
      </c>
      <c r="E11" s="4" t="s">
        <v>23</v>
      </c>
      <c r="F11" s="12">
        <v>390000</v>
      </c>
      <c r="G11" s="4" t="s">
        <v>25</v>
      </c>
      <c r="H11" s="4">
        <v>9</v>
      </c>
      <c r="I11" s="3" t="s">
        <v>152</v>
      </c>
    </row>
    <row r="12" spans="1:9" x14ac:dyDescent="0.35">
      <c r="A12" s="4" t="s">
        <v>170</v>
      </c>
      <c r="B12" s="5" t="s">
        <v>204</v>
      </c>
      <c r="C12" s="1" t="s">
        <v>190</v>
      </c>
      <c r="D12" s="1">
        <v>32</v>
      </c>
      <c r="E12" s="4" t="s">
        <v>23</v>
      </c>
      <c r="F12" s="12">
        <v>250000</v>
      </c>
      <c r="G12" s="4" t="s">
        <v>25</v>
      </c>
      <c r="H12" s="4">
        <v>18</v>
      </c>
      <c r="I12" s="5">
        <v>46025</v>
      </c>
    </row>
    <row r="13" spans="1:9" x14ac:dyDescent="0.35">
      <c r="A13" s="4" t="s">
        <v>171</v>
      </c>
      <c r="B13" s="5" t="s">
        <v>205</v>
      </c>
      <c r="C13" s="1" t="s">
        <v>191</v>
      </c>
      <c r="D13" s="1">
        <v>27</v>
      </c>
      <c r="E13" s="4" t="s">
        <v>22</v>
      </c>
      <c r="F13" s="12">
        <v>180000</v>
      </c>
      <c r="G13" s="4" t="s">
        <v>26</v>
      </c>
      <c r="H13" s="4">
        <v>17</v>
      </c>
      <c r="I13" s="5">
        <v>46025</v>
      </c>
    </row>
    <row r="14" spans="1:9" x14ac:dyDescent="0.35">
      <c r="A14" s="4" t="s">
        <v>172</v>
      </c>
      <c r="B14" s="5" t="s">
        <v>206</v>
      </c>
      <c r="C14" s="1" t="s">
        <v>18</v>
      </c>
      <c r="D14" s="1">
        <v>41</v>
      </c>
      <c r="E14" s="4" t="s">
        <v>84</v>
      </c>
      <c r="F14" s="12">
        <v>520000</v>
      </c>
      <c r="G14" s="4" t="s">
        <v>25</v>
      </c>
      <c r="H14" s="4">
        <v>16</v>
      </c>
      <c r="I14" s="5">
        <v>46055</v>
      </c>
    </row>
    <row r="15" spans="1:9" x14ac:dyDescent="0.35">
      <c r="A15" s="4" t="s">
        <v>173</v>
      </c>
      <c r="B15" s="5" t="s">
        <v>207</v>
      </c>
      <c r="C15" s="1" t="s">
        <v>86</v>
      </c>
      <c r="D15" s="1">
        <v>36</v>
      </c>
      <c r="E15" s="4" t="s">
        <v>23</v>
      </c>
      <c r="F15" s="12">
        <v>320000</v>
      </c>
      <c r="G15" s="4" t="s">
        <v>25</v>
      </c>
      <c r="H15" s="4">
        <v>15</v>
      </c>
      <c r="I15" s="5">
        <v>46054</v>
      </c>
    </row>
    <row r="16" spans="1:9" x14ac:dyDescent="0.35">
      <c r="A16" s="4" t="s">
        <v>174</v>
      </c>
      <c r="B16" s="5" t="s">
        <v>208</v>
      </c>
      <c r="C16" s="1" t="s">
        <v>192</v>
      </c>
      <c r="D16" s="1">
        <v>29</v>
      </c>
      <c r="E16" s="4" t="s">
        <v>24</v>
      </c>
      <c r="F16" s="12">
        <v>150000</v>
      </c>
      <c r="G16" s="4" t="s">
        <v>27</v>
      </c>
      <c r="H16" s="4">
        <v>14</v>
      </c>
      <c r="I16" s="5">
        <v>45728</v>
      </c>
    </row>
    <row r="17" spans="1:9" x14ac:dyDescent="0.35">
      <c r="A17" s="4" t="s">
        <v>175</v>
      </c>
      <c r="B17" s="5" t="s">
        <v>209</v>
      </c>
      <c r="C17" s="1" t="s">
        <v>21</v>
      </c>
      <c r="D17" s="1">
        <v>38</v>
      </c>
      <c r="E17" s="4" t="s">
        <v>84</v>
      </c>
      <c r="F17" s="12">
        <v>470000</v>
      </c>
      <c r="G17" s="4" t="s">
        <v>26</v>
      </c>
      <c r="H17" s="4">
        <v>13</v>
      </c>
      <c r="I17" s="5">
        <v>45759</v>
      </c>
    </row>
    <row r="18" spans="1:9" x14ac:dyDescent="0.35">
      <c r="A18" s="4" t="s">
        <v>176</v>
      </c>
      <c r="B18" s="5" t="s">
        <v>210</v>
      </c>
      <c r="C18" s="1" t="s">
        <v>85</v>
      </c>
      <c r="D18" s="1">
        <v>24</v>
      </c>
      <c r="E18" s="4" t="s">
        <v>23</v>
      </c>
      <c r="F18" s="12">
        <v>170000</v>
      </c>
      <c r="G18" s="4" t="s">
        <v>25</v>
      </c>
      <c r="H18" s="4">
        <v>12</v>
      </c>
      <c r="I18" s="5">
        <v>45787</v>
      </c>
    </row>
    <row r="19" spans="1:9" x14ac:dyDescent="0.35">
      <c r="A19" s="4" t="s">
        <v>177</v>
      </c>
      <c r="B19" s="5" t="s">
        <v>211</v>
      </c>
      <c r="C19" s="1" t="s">
        <v>86</v>
      </c>
      <c r="D19" s="1">
        <v>45</v>
      </c>
      <c r="E19" s="4" t="s">
        <v>87</v>
      </c>
      <c r="F19" s="12">
        <v>600000</v>
      </c>
      <c r="G19" s="4" t="s">
        <v>26</v>
      </c>
      <c r="H19" s="4">
        <v>11</v>
      </c>
      <c r="I19" s="5">
        <v>45785</v>
      </c>
    </row>
    <row r="20" spans="1:9" x14ac:dyDescent="0.35">
      <c r="A20" s="4" t="s">
        <v>178</v>
      </c>
      <c r="B20" s="5" t="s">
        <v>212</v>
      </c>
      <c r="C20" s="1" t="s">
        <v>88</v>
      </c>
      <c r="D20" s="1">
        <v>30</v>
      </c>
      <c r="E20" s="4" t="s">
        <v>23</v>
      </c>
      <c r="F20" s="12">
        <v>210000</v>
      </c>
      <c r="G20" s="4" t="s">
        <v>26</v>
      </c>
      <c r="H20" s="4">
        <v>10</v>
      </c>
      <c r="I20" s="5">
        <v>45813</v>
      </c>
    </row>
    <row r="21" spans="1:9" x14ac:dyDescent="0.35">
      <c r="A21" s="4" t="s">
        <v>179</v>
      </c>
      <c r="B21" s="3" t="s">
        <v>213</v>
      </c>
      <c r="C21" s="1" t="s">
        <v>108</v>
      </c>
      <c r="D21" s="1">
        <v>34</v>
      </c>
      <c r="E21" s="4" t="s">
        <v>23</v>
      </c>
      <c r="F21" s="12">
        <v>390000</v>
      </c>
      <c r="G21" s="4" t="s">
        <v>25</v>
      </c>
      <c r="H21" s="4">
        <v>9</v>
      </c>
      <c r="I21" s="3" t="s"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E20" sqref="E20"/>
    </sheetView>
  </sheetViews>
  <sheetFormatPr defaultRowHeight="14.5" x14ac:dyDescent="0.35"/>
  <cols>
    <col min="1" max="1" width="12.6328125" bestFit="1" customWidth="1"/>
    <col min="2" max="2" width="11.26953125" style="3" bestFit="1" customWidth="1"/>
    <col min="3" max="3" width="15" style="3" bestFit="1" customWidth="1"/>
    <col min="4" max="4" width="13.453125" style="3" bestFit="1" customWidth="1"/>
    <col min="5" max="5" width="18.453125" style="11" bestFit="1" customWidth="1"/>
    <col min="6" max="6" width="12.36328125" style="3" bestFit="1" customWidth="1"/>
    <col min="7" max="7" width="12.26953125" style="3" bestFit="1" customWidth="1"/>
    <col min="8" max="8" width="20.7265625" style="13" bestFit="1" customWidth="1"/>
    <col min="9" max="9" width="19" style="13" bestFit="1" customWidth="1"/>
    <col min="10" max="10" width="9" style="3" bestFit="1" customWidth="1"/>
    <col min="11" max="11" width="12.36328125" style="3" bestFit="1" customWidth="1"/>
  </cols>
  <sheetData>
    <row r="1" spans="1:11" x14ac:dyDescent="0.35">
      <c r="A1" s="21" t="s">
        <v>56</v>
      </c>
      <c r="B1" s="21" t="s">
        <v>6</v>
      </c>
      <c r="C1" s="21" t="s">
        <v>89</v>
      </c>
      <c r="D1" s="21" t="s">
        <v>28</v>
      </c>
      <c r="E1" s="32" t="s">
        <v>29</v>
      </c>
      <c r="F1" s="21" t="s">
        <v>61</v>
      </c>
      <c r="G1" s="21" t="s">
        <v>90</v>
      </c>
      <c r="H1" s="32" t="s">
        <v>91</v>
      </c>
      <c r="I1" s="32" t="s">
        <v>92</v>
      </c>
      <c r="J1" s="21" t="s">
        <v>93</v>
      </c>
      <c r="K1" s="21" t="s">
        <v>95</v>
      </c>
    </row>
    <row r="2" spans="1:11" x14ac:dyDescent="0.35">
      <c r="A2" s="1" t="s">
        <v>66</v>
      </c>
      <c r="B2" s="4" t="s">
        <v>7</v>
      </c>
      <c r="C2" s="5">
        <v>45810</v>
      </c>
      <c r="D2" s="4" t="s">
        <v>96</v>
      </c>
      <c r="E2" s="10">
        <v>300000</v>
      </c>
      <c r="F2" s="4">
        <v>3</v>
      </c>
      <c r="G2" s="4">
        <v>725</v>
      </c>
      <c r="H2" s="12">
        <v>20000</v>
      </c>
      <c r="I2" s="12">
        <v>29500</v>
      </c>
      <c r="J2" s="4" t="s">
        <v>97</v>
      </c>
      <c r="K2" s="4">
        <v>1</v>
      </c>
    </row>
    <row r="3" spans="1:11" x14ac:dyDescent="0.35">
      <c r="A3" s="1" t="s">
        <v>70</v>
      </c>
      <c r="B3" s="4" t="s">
        <v>8</v>
      </c>
      <c r="C3" s="5">
        <v>45811</v>
      </c>
      <c r="D3" s="4" t="s">
        <v>98</v>
      </c>
      <c r="E3" s="10">
        <v>100000</v>
      </c>
      <c r="F3" s="4">
        <v>3</v>
      </c>
      <c r="G3" s="4">
        <v>650</v>
      </c>
      <c r="H3" s="12">
        <v>15000</v>
      </c>
      <c r="I3" s="12">
        <v>18500</v>
      </c>
      <c r="J3" s="4" t="s">
        <v>97</v>
      </c>
      <c r="K3" s="4">
        <v>1</v>
      </c>
    </row>
    <row r="4" spans="1:11" x14ac:dyDescent="0.35">
      <c r="A4" s="1" t="s">
        <v>72</v>
      </c>
      <c r="B4" s="4" t="s">
        <v>9</v>
      </c>
      <c r="C4" s="5">
        <v>45812</v>
      </c>
      <c r="D4" s="4" t="s">
        <v>96</v>
      </c>
      <c r="E4" s="10">
        <v>500000</v>
      </c>
      <c r="F4" s="4">
        <v>3</v>
      </c>
      <c r="G4" s="4">
        <v>780</v>
      </c>
      <c r="H4" s="12">
        <v>30000</v>
      </c>
      <c r="I4" s="12">
        <v>37000</v>
      </c>
      <c r="J4" s="4" t="s">
        <v>97</v>
      </c>
      <c r="K4" s="4">
        <v>1</v>
      </c>
    </row>
    <row r="5" spans="1:11" x14ac:dyDescent="0.35">
      <c r="A5" s="1" t="s">
        <v>99</v>
      </c>
      <c r="B5" s="4" t="s">
        <v>10</v>
      </c>
      <c r="C5" s="5">
        <v>45813</v>
      </c>
      <c r="D5" s="4" t="s">
        <v>100</v>
      </c>
      <c r="E5" s="10">
        <v>600000</v>
      </c>
      <c r="F5" s="4">
        <v>3</v>
      </c>
      <c r="G5" s="4">
        <v>590</v>
      </c>
      <c r="H5" s="12">
        <v>45000</v>
      </c>
      <c r="I5" s="12">
        <v>43000</v>
      </c>
      <c r="J5" s="4" t="s">
        <v>97</v>
      </c>
      <c r="K5" s="4">
        <v>0</v>
      </c>
    </row>
    <row r="6" spans="1:11" x14ac:dyDescent="0.35">
      <c r="A6" s="1" t="s">
        <v>102</v>
      </c>
      <c r="B6" s="4" t="s">
        <v>11</v>
      </c>
      <c r="C6" s="5">
        <v>45814</v>
      </c>
      <c r="D6" s="4" t="s">
        <v>98</v>
      </c>
      <c r="E6" s="10">
        <v>80000</v>
      </c>
      <c r="F6" s="4">
        <v>3</v>
      </c>
      <c r="G6" s="4">
        <v>520</v>
      </c>
      <c r="H6" s="12">
        <v>22000</v>
      </c>
      <c r="I6" s="12">
        <v>28500</v>
      </c>
      <c r="J6" s="4" t="s">
        <v>97</v>
      </c>
      <c r="K6" s="4">
        <v>0</v>
      </c>
    </row>
    <row r="7" spans="1:11" x14ac:dyDescent="0.35">
      <c r="A7" s="1" t="s">
        <v>74</v>
      </c>
      <c r="B7" s="4" t="s">
        <v>12</v>
      </c>
      <c r="C7" s="5">
        <v>45815</v>
      </c>
      <c r="D7" s="4" t="s">
        <v>100</v>
      </c>
      <c r="E7" s="10">
        <v>700000</v>
      </c>
      <c r="F7" s="4">
        <v>3</v>
      </c>
      <c r="G7" s="4">
        <v>735</v>
      </c>
      <c r="H7" s="12">
        <v>35000</v>
      </c>
      <c r="I7" s="12">
        <v>47000</v>
      </c>
      <c r="J7" s="4" t="s">
        <v>97</v>
      </c>
      <c r="K7" s="4">
        <v>1</v>
      </c>
    </row>
    <row r="8" spans="1:11" x14ac:dyDescent="0.35">
      <c r="A8" s="1" t="s">
        <v>76</v>
      </c>
      <c r="B8" s="4" t="s">
        <v>13</v>
      </c>
      <c r="C8" s="5">
        <v>45816</v>
      </c>
      <c r="D8" s="4" t="s">
        <v>96</v>
      </c>
      <c r="E8" s="10">
        <v>200000</v>
      </c>
      <c r="F8" s="4">
        <v>3</v>
      </c>
      <c r="G8" s="4">
        <v>680</v>
      </c>
      <c r="H8" s="12">
        <v>12000</v>
      </c>
      <c r="I8" s="12">
        <v>21000</v>
      </c>
      <c r="J8" s="4" t="s">
        <v>97</v>
      </c>
      <c r="K8" s="4">
        <v>1</v>
      </c>
    </row>
    <row r="9" spans="1:11" x14ac:dyDescent="0.35">
      <c r="A9" s="1" t="s">
        <v>78</v>
      </c>
      <c r="B9" s="4" t="s">
        <v>14</v>
      </c>
      <c r="C9" s="5">
        <v>45817</v>
      </c>
      <c r="D9" s="4" t="s">
        <v>100</v>
      </c>
      <c r="E9" s="10">
        <v>1000000</v>
      </c>
      <c r="F9" s="4">
        <v>3</v>
      </c>
      <c r="G9" s="4">
        <v>760</v>
      </c>
      <c r="H9" s="12">
        <v>60000</v>
      </c>
      <c r="I9" s="12">
        <v>52000</v>
      </c>
      <c r="J9" s="4" t="s">
        <v>97</v>
      </c>
      <c r="K9" s="4">
        <v>1</v>
      </c>
    </row>
    <row r="10" spans="1:11" x14ac:dyDescent="0.35">
      <c r="A10" s="1" t="s">
        <v>80</v>
      </c>
      <c r="B10" s="4" t="s">
        <v>15</v>
      </c>
      <c r="C10" s="5">
        <v>45818</v>
      </c>
      <c r="D10" s="4" t="s">
        <v>98</v>
      </c>
      <c r="E10" s="10">
        <v>120000</v>
      </c>
      <c r="F10" s="4">
        <v>3</v>
      </c>
      <c r="G10" s="4">
        <v>605</v>
      </c>
      <c r="H10" s="12">
        <v>18000</v>
      </c>
      <c r="I10" s="12">
        <v>21000</v>
      </c>
      <c r="J10" s="4" t="s">
        <v>97</v>
      </c>
      <c r="K10" s="4">
        <v>1</v>
      </c>
    </row>
    <row r="11" spans="1:11" x14ac:dyDescent="0.35">
      <c r="A11" s="1" t="s">
        <v>82</v>
      </c>
      <c r="B11" s="4" t="s">
        <v>83</v>
      </c>
      <c r="C11" s="5">
        <v>45819</v>
      </c>
      <c r="D11" s="4" t="s">
        <v>96</v>
      </c>
      <c r="E11" s="10">
        <v>350000</v>
      </c>
      <c r="F11" s="4">
        <v>3</v>
      </c>
      <c r="G11" s="4">
        <v>745</v>
      </c>
      <c r="H11" s="12">
        <v>20000</v>
      </c>
      <c r="I11" s="12">
        <v>33000</v>
      </c>
      <c r="J11" s="4" t="s">
        <v>97</v>
      </c>
      <c r="K11" s="4">
        <v>1</v>
      </c>
    </row>
    <row r="12" spans="1:11" x14ac:dyDescent="0.35">
      <c r="A12" s="1" t="s">
        <v>103</v>
      </c>
      <c r="B12" s="4" t="s">
        <v>170</v>
      </c>
      <c r="C12" s="5">
        <v>45820</v>
      </c>
      <c r="D12" s="4" t="s">
        <v>98</v>
      </c>
      <c r="E12" s="10">
        <v>120000</v>
      </c>
      <c r="F12" s="4">
        <v>3</v>
      </c>
      <c r="G12" s="4">
        <v>730</v>
      </c>
      <c r="H12" s="12">
        <v>15000</v>
      </c>
      <c r="I12" s="12">
        <v>22000</v>
      </c>
      <c r="J12" s="4" t="s">
        <v>97</v>
      </c>
      <c r="K12" s="4">
        <v>1</v>
      </c>
    </row>
    <row r="13" spans="1:11" x14ac:dyDescent="0.35">
      <c r="A13" s="1" t="s">
        <v>104</v>
      </c>
      <c r="B13" s="4" t="s">
        <v>171</v>
      </c>
      <c r="C13" s="5">
        <v>45821</v>
      </c>
      <c r="D13" s="4" t="s">
        <v>100</v>
      </c>
      <c r="E13" s="10">
        <v>900000</v>
      </c>
      <c r="F13" s="4">
        <v>3</v>
      </c>
      <c r="G13" s="4">
        <v>790</v>
      </c>
      <c r="H13" s="12">
        <v>40000</v>
      </c>
      <c r="I13" s="12">
        <v>61000</v>
      </c>
      <c r="J13" s="4" t="s">
        <v>97</v>
      </c>
      <c r="K13" s="4">
        <v>1</v>
      </c>
    </row>
    <row r="14" spans="1:11" x14ac:dyDescent="0.35">
      <c r="A14" s="1" t="s">
        <v>105</v>
      </c>
      <c r="B14" s="4" t="s">
        <v>172</v>
      </c>
      <c r="C14" s="5">
        <v>45822</v>
      </c>
      <c r="D14" s="4" t="s">
        <v>96</v>
      </c>
      <c r="E14" s="10">
        <v>250000</v>
      </c>
      <c r="F14" s="4">
        <v>3</v>
      </c>
      <c r="G14" s="4">
        <v>540</v>
      </c>
      <c r="H14" s="12">
        <v>25000</v>
      </c>
      <c r="I14" s="12">
        <v>26000</v>
      </c>
      <c r="J14" s="4" t="s">
        <v>97</v>
      </c>
      <c r="K14" s="4">
        <v>0</v>
      </c>
    </row>
    <row r="15" spans="1:11" x14ac:dyDescent="0.35">
      <c r="A15" s="1" t="s">
        <v>106</v>
      </c>
      <c r="B15" s="4" t="s">
        <v>173</v>
      </c>
      <c r="C15" s="5">
        <v>45823</v>
      </c>
      <c r="D15" s="4" t="s">
        <v>98</v>
      </c>
      <c r="E15" s="10">
        <v>150000</v>
      </c>
      <c r="F15" s="4">
        <v>3</v>
      </c>
      <c r="G15" s="4">
        <v>770</v>
      </c>
      <c r="H15" s="12">
        <v>18000</v>
      </c>
      <c r="I15" s="12">
        <v>24000</v>
      </c>
      <c r="J15" s="4" t="s">
        <v>97</v>
      </c>
      <c r="K15" s="4">
        <v>1</v>
      </c>
    </row>
    <row r="16" spans="1:11" x14ac:dyDescent="0.35">
      <c r="A16" s="1" t="s">
        <v>107</v>
      </c>
      <c r="B16" s="4" t="s">
        <v>174</v>
      </c>
      <c r="C16" s="5">
        <v>45824</v>
      </c>
      <c r="D16" s="4" t="s">
        <v>96</v>
      </c>
      <c r="E16" s="10">
        <v>300000</v>
      </c>
      <c r="F16" s="4">
        <v>3</v>
      </c>
      <c r="G16" s="4">
        <v>610</v>
      </c>
      <c r="H16" s="12">
        <v>28000</v>
      </c>
      <c r="I16" s="12">
        <v>31000</v>
      </c>
      <c r="J16" s="4" t="s">
        <v>97</v>
      </c>
      <c r="K16" s="4">
        <v>0</v>
      </c>
    </row>
    <row r="17" spans="1:11" x14ac:dyDescent="0.35">
      <c r="A17" s="1" t="s">
        <v>165</v>
      </c>
      <c r="B17" s="4" t="s">
        <v>175</v>
      </c>
      <c r="C17" s="5">
        <v>45825</v>
      </c>
      <c r="D17" s="4" t="s">
        <v>100</v>
      </c>
      <c r="E17" s="11">
        <v>240000</v>
      </c>
      <c r="F17" s="4">
        <v>3</v>
      </c>
      <c r="G17" s="4">
        <v>450</v>
      </c>
      <c r="H17" s="13">
        <v>15000</v>
      </c>
      <c r="I17" s="13">
        <v>55000</v>
      </c>
      <c r="J17" s="4" t="s">
        <v>97</v>
      </c>
      <c r="K17" s="4">
        <v>1</v>
      </c>
    </row>
    <row r="18" spans="1:11" x14ac:dyDescent="0.35">
      <c r="A18" s="1" t="s">
        <v>166</v>
      </c>
      <c r="B18" s="4" t="s">
        <v>176</v>
      </c>
      <c r="C18" s="5">
        <v>45826</v>
      </c>
      <c r="D18" s="4" t="s">
        <v>96</v>
      </c>
      <c r="E18" s="11">
        <v>150000</v>
      </c>
      <c r="F18" s="4">
        <v>3</v>
      </c>
      <c r="G18" s="4">
        <v>500</v>
      </c>
      <c r="H18" s="13">
        <v>35000</v>
      </c>
      <c r="I18" s="13">
        <v>24000</v>
      </c>
      <c r="J18" s="4" t="s">
        <v>97</v>
      </c>
      <c r="K18" s="4">
        <v>1</v>
      </c>
    </row>
    <row r="19" spans="1:11" x14ac:dyDescent="0.35">
      <c r="A19" s="1" t="s">
        <v>167</v>
      </c>
      <c r="B19" s="4" t="s">
        <v>177</v>
      </c>
      <c r="C19" s="5">
        <v>45827</v>
      </c>
      <c r="D19" s="4" t="s">
        <v>100</v>
      </c>
      <c r="E19" s="11">
        <v>250000</v>
      </c>
      <c r="F19" s="4">
        <v>3</v>
      </c>
      <c r="G19" s="4">
        <v>600</v>
      </c>
      <c r="H19" s="13">
        <v>25000</v>
      </c>
      <c r="I19" s="13">
        <v>60000</v>
      </c>
      <c r="J19" s="4" t="s">
        <v>97</v>
      </c>
      <c r="K19" s="4">
        <v>1</v>
      </c>
    </row>
    <row r="20" spans="1:11" x14ac:dyDescent="0.35">
      <c r="A20" s="1" t="s">
        <v>168</v>
      </c>
      <c r="B20" s="4" t="s">
        <v>178</v>
      </c>
      <c r="C20" s="5">
        <v>45828</v>
      </c>
      <c r="D20" s="4" t="s">
        <v>98</v>
      </c>
      <c r="E20" s="11">
        <v>600000</v>
      </c>
      <c r="F20" s="4">
        <v>3</v>
      </c>
      <c r="G20" s="4">
        <v>342</v>
      </c>
      <c r="H20" s="13">
        <v>8000</v>
      </c>
      <c r="I20" s="13">
        <v>250000</v>
      </c>
      <c r="J20" s="4" t="s">
        <v>97</v>
      </c>
      <c r="K20" s="4">
        <v>1</v>
      </c>
    </row>
    <row r="21" spans="1:11" x14ac:dyDescent="0.35">
      <c r="A21" s="1" t="s">
        <v>169</v>
      </c>
      <c r="B21" s="4" t="s">
        <v>179</v>
      </c>
      <c r="C21" s="5">
        <v>45829</v>
      </c>
      <c r="D21" s="4" t="s">
        <v>96</v>
      </c>
      <c r="E21" s="11">
        <v>450000</v>
      </c>
      <c r="F21" s="4">
        <v>3</v>
      </c>
      <c r="G21" s="4">
        <v>768</v>
      </c>
      <c r="H21" s="13">
        <v>3000</v>
      </c>
      <c r="I21" s="13">
        <v>120000</v>
      </c>
      <c r="J21" s="4" t="s">
        <v>97</v>
      </c>
      <c r="K21" s="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K13" sqref="K13"/>
    </sheetView>
  </sheetViews>
  <sheetFormatPr defaultRowHeight="14.5" x14ac:dyDescent="0.35"/>
  <cols>
    <col min="2" max="2" width="12.6328125" style="3" bestFit="1" customWidth="1"/>
    <col min="3" max="3" width="11.26953125" style="3" bestFit="1" customWidth="1"/>
    <col min="4" max="4" width="17.36328125" style="3" bestFit="1" customWidth="1"/>
    <col min="5" max="5" width="10.7265625" style="29" bestFit="1" customWidth="1"/>
    <col min="6" max="6" width="20.453125" bestFit="1" customWidth="1"/>
    <col min="7" max="7" width="14.1796875" style="13" bestFit="1" customWidth="1"/>
    <col min="8" max="8" width="14.26953125" style="3" bestFit="1" customWidth="1"/>
    <col min="9" max="9" width="14.7265625" style="3" bestFit="1" customWidth="1"/>
    <col min="10" max="10" width="21.26953125" style="13" bestFit="1" customWidth="1"/>
    <col min="11" max="11" width="14.26953125" style="3" bestFit="1" customWidth="1"/>
    <col min="12" max="12" width="14.7265625" style="3" bestFit="1" customWidth="1"/>
    <col min="13" max="13" width="8.7265625" style="3"/>
    <col min="14" max="14" width="21.26953125" style="3" bestFit="1" customWidth="1"/>
    <col min="15" max="15" width="14.90625" style="3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0" t="s">
        <v>55</v>
      </c>
      <c r="B1" s="21" t="s">
        <v>56</v>
      </c>
      <c r="C1" s="21" t="s">
        <v>6</v>
      </c>
      <c r="D1" s="21" t="s">
        <v>57</v>
      </c>
      <c r="E1" s="31" t="s">
        <v>58</v>
      </c>
      <c r="F1" s="21" t="s">
        <v>182</v>
      </c>
      <c r="G1" s="32" t="s">
        <v>184</v>
      </c>
      <c r="H1" s="21" t="s">
        <v>61</v>
      </c>
      <c r="I1" s="21" t="s">
        <v>62</v>
      </c>
      <c r="J1" s="32" t="s">
        <v>183</v>
      </c>
      <c r="Q1" s="9"/>
      <c r="R1" s="9"/>
      <c r="S1" s="9"/>
      <c r="T1" s="9"/>
    </row>
    <row r="2" spans="1:20" x14ac:dyDescent="0.35">
      <c r="A2" s="1" t="s">
        <v>65</v>
      </c>
      <c r="B2" s="4" t="s">
        <v>66</v>
      </c>
      <c r="C2" s="4" t="s">
        <v>7</v>
      </c>
      <c r="D2" s="5">
        <v>45840</v>
      </c>
      <c r="E2" s="10">
        <v>50000</v>
      </c>
      <c r="F2" s="7">
        <f>48%/12</f>
        <v>0.04</v>
      </c>
      <c r="G2" s="12">
        <v>1000</v>
      </c>
      <c r="H2" s="4">
        <v>3</v>
      </c>
      <c r="I2" s="5">
        <v>46297</v>
      </c>
      <c r="J2" s="12">
        <f>E2*F2*3+E2+G2</f>
        <v>57000</v>
      </c>
    </row>
    <row r="3" spans="1:20" x14ac:dyDescent="0.35">
      <c r="A3" s="1" t="s">
        <v>69</v>
      </c>
      <c r="B3" s="4" t="s">
        <v>70</v>
      </c>
      <c r="C3" s="4" t="s">
        <v>8</v>
      </c>
      <c r="D3" s="5">
        <v>45872</v>
      </c>
      <c r="E3" s="10">
        <v>70000</v>
      </c>
      <c r="F3" s="7">
        <f t="shared" ref="F3:F21" si="0">48%/12</f>
        <v>0.04</v>
      </c>
      <c r="G3" s="12">
        <v>3000</v>
      </c>
      <c r="H3" s="4">
        <v>3</v>
      </c>
      <c r="I3" s="5">
        <v>46330</v>
      </c>
      <c r="J3" s="12">
        <f>E3*F3*3+G3+E3</f>
        <v>81400</v>
      </c>
    </row>
    <row r="4" spans="1:20" x14ac:dyDescent="0.35">
      <c r="A4" s="1" t="s">
        <v>71</v>
      </c>
      <c r="B4" s="4" t="s">
        <v>72</v>
      </c>
      <c r="C4" s="4" t="s">
        <v>9</v>
      </c>
      <c r="D4" s="5">
        <v>45842</v>
      </c>
      <c r="E4" s="10">
        <v>90000</v>
      </c>
      <c r="F4" s="7">
        <f t="shared" si="0"/>
        <v>0.04</v>
      </c>
      <c r="G4" s="12">
        <v>2000</v>
      </c>
      <c r="H4" s="4">
        <v>3</v>
      </c>
      <c r="I4" s="5">
        <v>46300</v>
      </c>
      <c r="J4" s="12">
        <f>E2*F2*3+G4+E4</f>
        <v>98000</v>
      </c>
    </row>
    <row r="5" spans="1:20" x14ac:dyDescent="0.35">
      <c r="A5" s="1" t="s">
        <v>73</v>
      </c>
      <c r="B5" s="4" t="s">
        <v>99</v>
      </c>
      <c r="C5" s="4" t="s">
        <v>10</v>
      </c>
      <c r="D5" s="5">
        <v>45907</v>
      </c>
      <c r="E5" s="10">
        <v>110000</v>
      </c>
      <c r="F5" s="7">
        <f t="shared" si="0"/>
        <v>0.04</v>
      </c>
      <c r="G5" s="12">
        <v>3000</v>
      </c>
      <c r="H5" s="4">
        <v>3</v>
      </c>
      <c r="I5" s="5">
        <v>46301</v>
      </c>
      <c r="J5" s="12">
        <f t="shared" ref="J5:J21" si="1">E5*F5*H5+G5+E5</f>
        <v>126200</v>
      </c>
    </row>
    <row r="6" spans="1:20" x14ac:dyDescent="0.35">
      <c r="A6" s="1" t="s">
        <v>75</v>
      </c>
      <c r="B6" s="4" t="s">
        <v>102</v>
      </c>
      <c r="C6" s="4" t="s">
        <v>11</v>
      </c>
      <c r="D6" s="5">
        <v>45938</v>
      </c>
      <c r="E6" s="10">
        <v>130000</v>
      </c>
      <c r="F6" s="7">
        <f t="shared" si="0"/>
        <v>0.04</v>
      </c>
      <c r="G6" s="12">
        <v>3000</v>
      </c>
      <c r="H6" s="4">
        <v>3</v>
      </c>
      <c r="I6" s="5">
        <v>46302</v>
      </c>
      <c r="J6" s="12">
        <f t="shared" si="1"/>
        <v>148600</v>
      </c>
    </row>
    <row r="7" spans="1:20" x14ac:dyDescent="0.35">
      <c r="A7" s="1" t="s">
        <v>77</v>
      </c>
      <c r="B7" s="4" t="s">
        <v>74</v>
      </c>
      <c r="C7" s="4" t="s">
        <v>12</v>
      </c>
      <c r="D7" s="5">
        <v>45847</v>
      </c>
      <c r="E7" s="10">
        <v>150000</v>
      </c>
      <c r="F7" s="7">
        <f t="shared" si="0"/>
        <v>0.04</v>
      </c>
      <c r="G7" s="12">
        <v>5000</v>
      </c>
      <c r="H7" s="4">
        <v>3</v>
      </c>
      <c r="I7" s="5">
        <v>46303</v>
      </c>
      <c r="J7" s="12">
        <f t="shared" si="1"/>
        <v>173000</v>
      </c>
    </row>
    <row r="8" spans="1:20" x14ac:dyDescent="0.35">
      <c r="A8" s="1" t="s">
        <v>79</v>
      </c>
      <c r="B8" s="4" t="s">
        <v>76</v>
      </c>
      <c r="C8" s="4" t="s">
        <v>13</v>
      </c>
      <c r="D8" s="5">
        <v>45848</v>
      </c>
      <c r="E8" s="10">
        <v>170000</v>
      </c>
      <c r="F8" s="7">
        <f t="shared" si="0"/>
        <v>0.04</v>
      </c>
      <c r="G8" s="12">
        <v>2500</v>
      </c>
      <c r="H8" s="4">
        <v>3</v>
      </c>
      <c r="I8" s="5">
        <v>46304</v>
      </c>
      <c r="J8" s="12">
        <f t="shared" si="1"/>
        <v>192900</v>
      </c>
    </row>
    <row r="9" spans="1:20" x14ac:dyDescent="0.35">
      <c r="A9" s="1" t="s">
        <v>81</v>
      </c>
      <c r="B9" s="4" t="s">
        <v>78</v>
      </c>
      <c r="C9" s="4" t="s">
        <v>14</v>
      </c>
      <c r="D9" s="5">
        <v>45849</v>
      </c>
      <c r="E9" s="10">
        <v>60000</v>
      </c>
      <c r="F9" s="7">
        <f t="shared" si="0"/>
        <v>0.04</v>
      </c>
      <c r="G9" s="12">
        <v>1000</v>
      </c>
      <c r="H9" s="4">
        <v>3</v>
      </c>
      <c r="I9" s="5">
        <v>46305</v>
      </c>
      <c r="J9" s="12">
        <f t="shared" si="1"/>
        <v>68200</v>
      </c>
    </row>
    <row r="10" spans="1:20" x14ac:dyDescent="0.35">
      <c r="A10" s="1" t="s">
        <v>153</v>
      </c>
      <c r="B10" s="4" t="s">
        <v>80</v>
      </c>
      <c r="C10" s="4" t="s">
        <v>15</v>
      </c>
      <c r="D10" s="5">
        <v>45850</v>
      </c>
      <c r="E10" s="10">
        <v>80000</v>
      </c>
      <c r="F10" s="7">
        <f t="shared" si="0"/>
        <v>0.04</v>
      </c>
      <c r="G10" s="12">
        <v>2000</v>
      </c>
      <c r="H10" s="4">
        <v>3</v>
      </c>
      <c r="I10" s="5">
        <v>46306</v>
      </c>
      <c r="J10" s="12">
        <f t="shared" si="1"/>
        <v>91600</v>
      </c>
    </row>
    <row r="11" spans="1:20" x14ac:dyDescent="0.35">
      <c r="A11" s="1" t="s">
        <v>154</v>
      </c>
      <c r="B11" s="4" t="s">
        <v>82</v>
      </c>
      <c r="C11" s="4" t="s">
        <v>83</v>
      </c>
      <c r="D11" s="5">
        <v>45851</v>
      </c>
      <c r="E11" s="10">
        <v>100000</v>
      </c>
      <c r="F11" s="7">
        <f t="shared" si="0"/>
        <v>0.04</v>
      </c>
      <c r="G11" s="12">
        <v>3000</v>
      </c>
      <c r="H11" s="4">
        <v>3</v>
      </c>
      <c r="I11" s="5">
        <v>46307</v>
      </c>
      <c r="J11" s="12">
        <f t="shared" si="1"/>
        <v>115000</v>
      </c>
    </row>
    <row r="12" spans="1:20" x14ac:dyDescent="0.35">
      <c r="A12" s="1" t="s">
        <v>155</v>
      </c>
      <c r="B12" s="4" t="s">
        <v>103</v>
      </c>
      <c r="C12" s="4" t="s">
        <v>170</v>
      </c>
      <c r="D12" s="5">
        <v>45852</v>
      </c>
      <c r="E12" s="10">
        <v>120000</v>
      </c>
      <c r="F12" s="7">
        <f t="shared" si="0"/>
        <v>0.04</v>
      </c>
      <c r="G12" s="12">
        <v>3000</v>
      </c>
      <c r="H12" s="4">
        <v>3</v>
      </c>
      <c r="I12" s="5">
        <v>46308</v>
      </c>
      <c r="J12" s="12">
        <f t="shared" si="1"/>
        <v>137400</v>
      </c>
      <c r="K12" s="19">
        <f>J12/H12</f>
        <v>45800</v>
      </c>
    </row>
    <row r="13" spans="1:20" x14ac:dyDescent="0.35">
      <c r="A13" s="1" t="s">
        <v>156</v>
      </c>
      <c r="B13" s="4" t="s">
        <v>104</v>
      </c>
      <c r="C13" s="4" t="s">
        <v>171</v>
      </c>
      <c r="D13" s="5">
        <v>45853</v>
      </c>
      <c r="E13" s="10">
        <v>140000</v>
      </c>
      <c r="F13" s="7">
        <f t="shared" si="0"/>
        <v>0.04</v>
      </c>
      <c r="G13" s="12">
        <v>3000</v>
      </c>
      <c r="H13" s="4">
        <v>3</v>
      </c>
      <c r="I13" s="5">
        <v>46309</v>
      </c>
      <c r="J13" s="12">
        <f t="shared" si="1"/>
        <v>159800</v>
      </c>
    </row>
    <row r="14" spans="1:20" x14ac:dyDescent="0.35">
      <c r="A14" s="1" t="s">
        <v>157</v>
      </c>
      <c r="B14" s="4" t="s">
        <v>105</v>
      </c>
      <c r="C14" s="4" t="s">
        <v>172</v>
      </c>
      <c r="D14" s="5">
        <v>45854</v>
      </c>
      <c r="E14" s="10">
        <v>160000</v>
      </c>
      <c r="F14" s="7">
        <f t="shared" si="0"/>
        <v>0.04</v>
      </c>
      <c r="G14" s="13">
        <v>5000</v>
      </c>
      <c r="H14" s="4">
        <v>3</v>
      </c>
      <c r="I14" s="5">
        <v>46310</v>
      </c>
      <c r="J14" s="12">
        <f t="shared" si="1"/>
        <v>184200</v>
      </c>
    </row>
    <row r="15" spans="1:20" x14ac:dyDescent="0.35">
      <c r="A15" s="1" t="s">
        <v>158</v>
      </c>
      <c r="B15" s="4" t="s">
        <v>106</v>
      </c>
      <c r="C15" s="4" t="s">
        <v>173</v>
      </c>
      <c r="D15" s="5">
        <v>45855</v>
      </c>
      <c r="E15" s="10">
        <v>180000</v>
      </c>
      <c r="F15" s="7">
        <f t="shared" si="0"/>
        <v>0.04</v>
      </c>
      <c r="G15" s="13">
        <v>5000</v>
      </c>
      <c r="H15" s="4">
        <v>3</v>
      </c>
      <c r="I15" s="5">
        <v>46311</v>
      </c>
      <c r="J15" s="12">
        <f t="shared" si="1"/>
        <v>206600</v>
      </c>
    </row>
    <row r="16" spans="1:20" x14ac:dyDescent="0.35">
      <c r="A16" s="1" t="s">
        <v>159</v>
      </c>
      <c r="B16" s="4" t="s">
        <v>107</v>
      </c>
      <c r="C16" s="4" t="s">
        <v>174</v>
      </c>
      <c r="D16" s="5">
        <v>45856</v>
      </c>
      <c r="E16" s="10">
        <v>200000</v>
      </c>
      <c r="F16" s="7">
        <f t="shared" si="0"/>
        <v>0.04</v>
      </c>
      <c r="G16" s="13">
        <v>5000</v>
      </c>
      <c r="H16" s="4">
        <v>3</v>
      </c>
      <c r="I16" s="5">
        <v>46312</v>
      </c>
      <c r="J16" s="12">
        <f t="shared" si="1"/>
        <v>229000</v>
      </c>
    </row>
    <row r="17" spans="1:15" x14ac:dyDescent="0.35">
      <c r="A17" s="1" t="s">
        <v>160</v>
      </c>
      <c r="B17" s="4" t="s">
        <v>165</v>
      </c>
      <c r="C17" s="4" t="s">
        <v>175</v>
      </c>
      <c r="D17" s="5">
        <v>45857</v>
      </c>
      <c r="E17" s="10">
        <v>70000</v>
      </c>
      <c r="F17" s="7">
        <f t="shared" si="0"/>
        <v>0.04</v>
      </c>
      <c r="G17" s="13">
        <v>2000</v>
      </c>
      <c r="H17" s="4">
        <v>3</v>
      </c>
      <c r="I17" s="5">
        <v>46313</v>
      </c>
      <c r="J17" s="12">
        <f t="shared" si="1"/>
        <v>80400</v>
      </c>
    </row>
    <row r="18" spans="1:15" x14ac:dyDescent="0.35">
      <c r="A18" s="1" t="s">
        <v>161</v>
      </c>
      <c r="B18" s="4" t="s">
        <v>166</v>
      </c>
      <c r="C18" s="4" t="s">
        <v>176</v>
      </c>
      <c r="D18" s="5">
        <v>45858</v>
      </c>
      <c r="E18" s="10">
        <v>90000</v>
      </c>
      <c r="F18" s="7">
        <f t="shared" si="0"/>
        <v>0.04</v>
      </c>
      <c r="G18" s="13">
        <v>2000</v>
      </c>
      <c r="H18" s="4">
        <v>3</v>
      </c>
      <c r="I18" s="5">
        <v>46314</v>
      </c>
      <c r="J18" s="12">
        <f t="shared" si="1"/>
        <v>102800</v>
      </c>
    </row>
    <row r="19" spans="1:15" x14ac:dyDescent="0.35">
      <c r="A19" s="1" t="s">
        <v>162</v>
      </c>
      <c r="B19" s="4" t="s">
        <v>167</v>
      </c>
      <c r="C19" s="4" t="s">
        <v>177</v>
      </c>
      <c r="D19" s="5">
        <v>45859</v>
      </c>
      <c r="E19" s="10">
        <v>110000</v>
      </c>
      <c r="F19" s="7">
        <f t="shared" si="0"/>
        <v>0.04</v>
      </c>
      <c r="G19" s="13">
        <v>3000</v>
      </c>
      <c r="H19" s="4">
        <v>3</v>
      </c>
      <c r="I19" s="5">
        <v>46315</v>
      </c>
      <c r="J19" s="12">
        <f t="shared" si="1"/>
        <v>126200</v>
      </c>
    </row>
    <row r="20" spans="1:15" x14ac:dyDescent="0.35">
      <c r="A20" s="1" t="s">
        <v>163</v>
      </c>
      <c r="B20" s="4" t="s">
        <v>168</v>
      </c>
      <c r="C20" s="4" t="s">
        <v>178</v>
      </c>
      <c r="D20" s="5">
        <v>45860</v>
      </c>
      <c r="E20" s="10">
        <v>50000</v>
      </c>
      <c r="F20" s="7">
        <f t="shared" si="0"/>
        <v>0.04</v>
      </c>
      <c r="G20" s="13">
        <v>1000</v>
      </c>
      <c r="H20" s="4">
        <v>3</v>
      </c>
      <c r="I20" s="5">
        <v>46316</v>
      </c>
      <c r="J20" s="12">
        <f t="shared" si="1"/>
        <v>57000</v>
      </c>
    </row>
    <row r="21" spans="1:15" x14ac:dyDescent="0.35">
      <c r="A21" s="1" t="s">
        <v>164</v>
      </c>
      <c r="B21" s="4" t="s">
        <v>169</v>
      </c>
      <c r="C21" s="4" t="s">
        <v>179</v>
      </c>
      <c r="D21" s="5">
        <v>45861</v>
      </c>
      <c r="E21" s="10">
        <v>75000</v>
      </c>
      <c r="F21" s="7">
        <f t="shared" si="0"/>
        <v>0.04</v>
      </c>
      <c r="G21" s="13">
        <v>1000</v>
      </c>
      <c r="H21" s="4">
        <v>3</v>
      </c>
      <c r="I21" s="5">
        <v>46317</v>
      </c>
      <c r="J21" s="12">
        <f t="shared" si="1"/>
        <v>85000</v>
      </c>
    </row>
    <row r="22" spans="1:15" x14ac:dyDescent="0.35">
      <c r="O22"/>
    </row>
    <row r="23" spans="1:15" x14ac:dyDescent="0.35">
      <c r="A23" s="29"/>
      <c r="B23"/>
      <c r="C23" s="13"/>
      <c r="E23" s="3"/>
      <c r="F23" s="13"/>
      <c r="G23" s="3"/>
      <c r="J23" s="3"/>
      <c r="K23"/>
      <c r="L23"/>
      <c r="M23"/>
      <c r="N23"/>
      <c r="O23"/>
    </row>
    <row r="24" spans="1:15" x14ac:dyDescent="0.35">
      <c r="A24" s="29"/>
      <c r="B24"/>
      <c r="C24" s="13"/>
      <c r="E24" s="3"/>
      <c r="F24" s="3"/>
      <c r="G24" s="3"/>
      <c r="I24"/>
      <c r="J24"/>
      <c r="K24"/>
      <c r="L24"/>
      <c r="M24"/>
      <c r="N24"/>
      <c r="O24"/>
    </row>
    <row r="25" spans="1:15" x14ac:dyDescent="0.35">
      <c r="A25" s="29"/>
      <c r="B25"/>
      <c r="C25" s="13"/>
      <c r="E25" s="3"/>
      <c r="F25" s="3"/>
      <c r="G25" s="3"/>
      <c r="I25"/>
      <c r="J25"/>
      <c r="K25"/>
      <c r="L25"/>
      <c r="M25"/>
      <c r="N25"/>
      <c r="O25"/>
    </row>
    <row r="26" spans="1:15" x14ac:dyDescent="0.35">
      <c r="A26" s="29"/>
      <c r="B26"/>
      <c r="C26" s="13"/>
      <c r="E26" s="3"/>
      <c r="F26" s="3"/>
      <c r="G26" s="3"/>
      <c r="I26"/>
      <c r="J26"/>
      <c r="K26"/>
      <c r="L26"/>
      <c r="M26"/>
      <c r="N26"/>
      <c r="O26"/>
    </row>
    <row r="27" spans="1:15" x14ac:dyDescent="0.35">
      <c r="A27" s="29"/>
      <c r="B27"/>
      <c r="C27" s="13"/>
      <c r="E27" s="3"/>
      <c r="F27" s="3"/>
      <c r="G27" s="3"/>
      <c r="I27"/>
      <c r="J27"/>
      <c r="K27"/>
      <c r="L27"/>
      <c r="M27"/>
      <c r="N27"/>
      <c r="O27"/>
    </row>
    <row r="28" spans="1:15" x14ac:dyDescent="0.35">
      <c r="A28" s="29"/>
      <c r="B28"/>
      <c r="C28" s="13"/>
      <c r="E28" s="3"/>
      <c r="F28" s="3"/>
      <c r="G28" s="3"/>
      <c r="I28"/>
      <c r="J28"/>
      <c r="K28"/>
      <c r="L28"/>
      <c r="M28"/>
      <c r="N28"/>
      <c r="O28"/>
    </row>
    <row r="29" spans="1:15" x14ac:dyDescent="0.35">
      <c r="A29" s="29"/>
      <c r="B29"/>
      <c r="C29" s="13"/>
      <c r="E29" s="3"/>
      <c r="F29" s="3"/>
      <c r="G29" s="3"/>
      <c r="I29"/>
      <c r="J29"/>
      <c r="K29"/>
      <c r="L29"/>
      <c r="M29"/>
      <c r="N29"/>
      <c r="O29"/>
    </row>
    <row r="30" spans="1:15" x14ac:dyDescent="0.35">
      <c r="A30" s="29"/>
      <c r="B30"/>
      <c r="C30" s="13"/>
      <c r="E30" s="3"/>
      <c r="F30" s="3"/>
      <c r="G30" s="3"/>
      <c r="I30"/>
      <c r="J30"/>
      <c r="K30"/>
      <c r="L30"/>
      <c r="M30"/>
      <c r="N30"/>
      <c r="O30"/>
    </row>
    <row r="31" spans="1:15" x14ac:dyDescent="0.35">
      <c r="A31" s="29"/>
      <c r="B31"/>
      <c r="C31" s="13"/>
      <c r="E31" s="3"/>
      <c r="F31" s="3"/>
      <c r="G31" s="3"/>
      <c r="I31"/>
      <c r="J31"/>
      <c r="K31"/>
      <c r="L31"/>
      <c r="M31"/>
      <c r="N31"/>
      <c r="O31"/>
    </row>
    <row r="32" spans="1:15" x14ac:dyDescent="0.35">
      <c r="A32" s="29"/>
      <c r="B32"/>
      <c r="C32" s="13"/>
      <c r="E32" s="3"/>
      <c r="F32" s="3"/>
      <c r="G32" s="3"/>
      <c r="I32"/>
      <c r="J32"/>
      <c r="K32"/>
      <c r="L32"/>
      <c r="M32"/>
      <c r="N32"/>
      <c r="O32"/>
    </row>
    <row r="33" spans="1:15" x14ac:dyDescent="0.35">
      <c r="A33" s="29"/>
      <c r="B33"/>
      <c r="C33" s="13"/>
      <c r="E33" s="3"/>
      <c r="F33" s="3"/>
      <c r="G33" s="3"/>
      <c r="I33"/>
      <c r="J33"/>
      <c r="K33"/>
      <c r="L33"/>
      <c r="M33"/>
      <c r="N33"/>
      <c r="O33"/>
    </row>
    <row r="34" spans="1:15" x14ac:dyDescent="0.35">
      <c r="A34" s="29"/>
      <c r="B34"/>
      <c r="C34" s="13"/>
      <c r="E34" s="3"/>
      <c r="F34" s="3"/>
      <c r="G34" s="3"/>
      <c r="I34"/>
      <c r="J34"/>
      <c r="K34"/>
      <c r="L34"/>
      <c r="M34"/>
      <c r="N34"/>
      <c r="O34"/>
    </row>
    <row r="35" spans="1:15" x14ac:dyDescent="0.35">
      <c r="A35" s="29"/>
      <c r="B35"/>
      <c r="C35" s="13"/>
      <c r="E35" s="3"/>
      <c r="F35" s="13"/>
      <c r="G35" s="3"/>
      <c r="J35" s="3"/>
      <c r="L35"/>
      <c r="M35"/>
      <c r="N35"/>
      <c r="O35"/>
    </row>
    <row r="36" spans="1:15" x14ac:dyDescent="0.35">
      <c r="A36" s="29"/>
      <c r="B36"/>
      <c r="C36" s="13"/>
      <c r="E36" s="3"/>
      <c r="F36" s="13"/>
      <c r="G36" s="3"/>
      <c r="J36" s="3"/>
      <c r="L36"/>
      <c r="M36"/>
      <c r="N36"/>
      <c r="O36"/>
    </row>
    <row r="37" spans="1:15" x14ac:dyDescent="0.35">
      <c r="A37" s="29"/>
      <c r="B37"/>
      <c r="C37" s="13"/>
      <c r="E37" s="3"/>
      <c r="F37" s="13"/>
      <c r="G37" s="3"/>
      <c r="J37" s="3"/>
      <c r="L37"/>
      <c r="M37"/>
      <c r="N37"/>
      <c r="O37"/>
    </row>
    <row r="38" spans="1:15" x14ac:dyDescent="0.35">
      <c r="A38" s="29"/>
      <c r="B38"/>
      <c r="C38" s="13"/>
      <c r="E38" s="3"/>
      <c r="F38" s="13"/>
      <c r="G38" s="3"/>
      <c r="J38" s="3"/>
      <c r="L38"/>
      <c r="M38"/>
      <c r="N38"/>
      <c r="O38"/>
    </row>
    <row r="39" spans="1:15" x14ac:dyDescent="0.35">
      <c r="A39" s="29"/>
      <c r="B39"/>
      <c r="C39" s="13"/>
      <c r="E39" s="3"/>
      <c r="F39" s="13"/>
      <c r="G39" s="3"/>
      <c r="J39" s="3"/>
      <c r="L39"/>
      <c r="M39"/>
      <c r="N39"/>
      <c r="O39"/>
    </row>
    <row r="40" spans="1:15" x14ac:dyDescent="0.35">
      <c r="A40" s="29"/>
      <c r="B40"/>
      <c r="C40" s="13"/>
      <c r="E40" s="3"/>
      <c r="F40" s="13"/>
      <c r="G40" s="3"/>
      <c r="J40" s="3"/>
      <c r="L40"/>
      <c r="M40"/>
      <c r="N40"/>
      <c r="O40"/>
    </row>
    <row r="41" spans="1:15" x14ac:dyDescent="0.35">
      <c r="A41" s="29"/>
      <c r="B41"/>
      <c r="C41" s="13"/>
      <c r="E41" s="3"/>
      <c r="F41" s="13"/>
      <c r="G41" s="3"/>
      <c r="J41" s="3"/>
      <c r="L41"/>
      <c r="M41"/>
      <c r="N41"/>
      <c r="O41"/>
    </row>
    <row r="42" spans="1:15" x14ac:dyDescent="0.35">
      <c r="A42" s="29"/>
      <c r="B42"/>
      <c r="C42" s="13"/>
      <c r="E42" s="3"/>
      <c r="F42" s="13"/>
      <c r="G42" s="3"/>
      <c r="J42" s="3"/>
      <c r="L42"/>
      <c r="M42"/>
      <c r="N42"/>
      <c r="O42"/>
    </row>
    <row r="43" spans="1:15" x14ac:dyDescent="0.35">
      <c r="A43" s="29"/>
      <c r="B43"/>
      <c r="C43" s="13"/>
      <c r="E43" s="3"/>
      <c r="F43" s="13"/>
      <c r="G43" s="3"/>
      <c r="J43" s="3"/>
      <c r="L43"/>
      <c r="M43"/>
      <c r="N43"/>
      <c r="O43"/>
    </row>
    <row r="44" spans="1:15" x14ac:dyDescent="0.35">
      <c r="A44" s="29"/>
      <c r="B44"/>
      <c r="C44" s="13"/>
      <c r="E44" s="3"/>
      <c r="F44" s="13"/>
      <c r="G44" s="3"/>
      <c r="J44" s="3"/>
      <c r="L44"/>
      <c r="M44"/>
      <c r="N44"/>
      <c r="O44"/>
    </row>
    <row r="45" spans="1:15" x14ac:dyDescent="0.35">
      <c r="A45" s="29"/>
      <c r="B45"/>
      <c r="C45" s="13"/>
      <c r="E45" s="3"/>
      <c r="F45" s="13"/>
      <c r="G45" s="3"/>
      <c r="J45" s="3"/>
      <c r="L45"/>
      <c r="M45"/>
      <c r="N45"/>
      <c r="O45"/>
    </row>
    <row r="46" spans="1:15" x14ac:dyDescent="0.35">
      <c r="A46" s="29"/>
      <c r="B46"/>
      <c r="C46" s="13"/>
      <c r="E46" s="3"/>
      <c r="F46" s="13"/>
      <c r="G46" s="3"/>
      <c r="J46" s="3"/>
      <c r="L46"/>
      <c r="M46"/>
      <c r="N46"/>
      <c r="O46"/>
    </row>
    <row r="47" spans="1:15" x14ac:dyDescent="0.35">
      <c r="A47" s="29"/>
      <c r="B47"/>
      <c r="C47" s="13"/>
      <c r="E47" s="3"/>
      <c r="F47" s="13"/>
      <c r="G47" s="3"/>
      <c r="J47" s="3"/>
      <c r="L47"/>
      <c r="M47"/>
      <c r="N47"/>
      <c r="O47"/>
    </row>
    <row r="48" spans="1:15" x14ac:dyDescent="0.35">
      <c r="A48" s="29"/>
      <c r="B48"/>
      <c r="C48" s="13"/>
      <c r="E48" s="3"/>
      <c r="F48" s="13"/>
      <c r="G48" s="3"/>
      <c r="J48" s="3"/>
      <c r="L48"/>
      <c r="M48"/>
      <c r="N48"/>
      <c r="O48"/>
    </row>
    <row r="49" spans="1:15" x14ac:dyDescent="0.35">
      <c r="A49" s="29"/>
      <c r="B49"/>
      <c r="C49" s="13"/>
      <c r="E49" s="3"/>
      <c r="F49" s="13"/>
      <c r="G49" s="3"/>
      <c r="J49" s="3"/>
      <c r="L49"/>
      <c r="M49"/>
      <c r="N49"/>
      <c r="O49"/>
    </row>
    <row r="50" spans="1:15" x14ac:dyDescent="0.35">
      <c r="A50" s="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opLeftCell="F52" workbookViewId="0">
      <selection activeCell="O58" sqref="O58"/>
    </sheetView>
  </sheetViews>
  <sheetFormatPr defaultRowHeight="14.5" x14ac:dyDescent="0.35"/>
  <cols>
    <col min="1" max="1" width="9" style="3" customWidth="1"/>
    <col min="2" max="2" width="9.08984375" style="3" customWidth="1"/>
    <col min="3" max="3" width="21" style="18" customWidth="1"/>
    <col min="4" max="4" width="14.54296875" style="13" customWidth="1"/>
    <col min="5" max="5" width="21" style="18" customWidth="1"/>
    <col min="6" max="6" width="9.90625" customWidth="1"/>
    <col min="7" max="7" width="17.90625" style="3" customWidth="1"/>
    <col min="8" max="8" width="16" style="13" customWidth="1"/>
    <col min="9" max="9" width="17.08984375" style="13" customWidth="1"/>
    <col min="10" max="10" width="16.6328125" style="3" customWidth="1"/>
    <col min="11" max="11" width="27.1796875" style="3" bestFit="1" customWidth="1"/>
    <col min="12" max="12" width="23" style="3" customWidth="1"/>
    <col min="13" max="13" width="10.08984375" style="38" bestFit="1" customWidth="1"/>
    <col min="15" max="15" width="10.08984375" bestFit="1" customWidth="1"/>
  </cols>
  <sheetData>
    <row r="1" spans="1:15" x14ac:dyDescent="0.35">
      <c r="A1" s="21" t="s">
        <v>55</v>
      </c>
      <c r="B1" s="21" t="s">
        <v>180</v>
      </c>
      <c r="C1" s="22" t="s">
        <v>141</v>
      </c>
      <c r="D1" s="23" t="s">
        <v>181</v>
      </c>
      <c r="E1" s="22" t="s">
        <v>149</v>
      </c>
      <c r="F1" s="24" t="s">
        <v>217</v>
      </c>
      <c r="G1" s="25" t="s">
        <v>224</v>
      </c>
      <c r="H1" s="39" t="s">
        <v>225</v>
      </c>
      <c r="I1" s="26" t="s">
        <v>188</v>
      </c>
      <c r="J1" s="27" t="s">
        <v>189</v>
      </c>
      <c r="K1" s="27" t="s">
        <v>258</v>
      </c>
      <c r="L1" s="27" t="s">
        <v>185</v>
      </c>
      <c r="M1" s="37" t="s">
        <v>186</v>
      </c>
      <c r="N1" s="28" t="s">
        <v>187</v>
      </c>
      <c r="O1" t="s">
        <v>260</v>
      </c>
    </row>
    <row r="2" spans="1:15" x14ac:dyDescent="0.35">
      <c r="A2" s="4" t="s">
        <v>65</v>
      </c>
      <c r="B2" s="4">
        <v>1</v>
      </c>
      <c r="C2" s="20">
        <v>45871</v>
      </c>
      <c r="D2" s="14">
        <f>Loan!J2/Loan!H2</f>
        <v>19000</v>
      </c>
      <c r="E2" s="20">
        <v>45871</v>
      </c>
      <c r="F2" t="s">
        <v>218</v>
      </c>
      <c r="G2" s="13">
        <f>D2</f>
        <v>19000</v>
      </c>
      <c r="H2" s="13">
        <f>MAX(0,G2-D2)</f>
        <v>0</v>
      </c>
      <c r="I2" s="13">
        <f>SUMIFS(D2:D2,A2:A2,A2)</f>
        <v>19000</v>
      </c>
      <c r="J2" s="13">
        <f>G2</f>
        <v>19000</v>
      </c>
      <c r="K2" s="11">
        <f>I2-J2</f>
        <v>0</v>
      </c>
      <c r="L2" s="3">
        <v>0</v>
      </c>
      <c r="M2" s="38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8">
        <v>45969</v>
      </c>
    </row>
    <row r="3" spans="1:15" x14ac:dyDescent="0.35">
      <c r="A3" s="4" t="s">
        <v>65</v>
      </c>
      <c r="B3" s="4">
        <v>2</v>
      </c>
      <c r="C3" s="20">
        <v>45902</v>
      </c>
      <c r="D3" s="14">
        <f>Loan!J2/Loan!H2</f>
        <v>19000</v>
      </c>
      <c r="E3" s="20">
        <v>45902</v>
      </c>
      <c r="F3" t="s">
        <v>218</v>
      </c>
      <c r="G3" s="13">
        <f>D3</f>
        <v>19000</v>
      </c>
      <c r="H3" s="13">
        <f>MAX(0,D3-G3)</f>
        <v>0</v>
      </c>
      <c r="I3" s="13">
        <f>SUMIFS(D2:D3,A2:A3,A3)</f>
        <v>38000</v>
      </c>
      <c r="J3" s="13">
        <f>G2+G3</f>
        <v>38000</v>
      </c>
      <c r="K3" s="11">
        <f t="shared" ref="K3:K4" si="0">I3-J3</f>
        <v>0</v>
      </c>
      <c r="L3" s="3">
        <v>0</v>
      </c>
      <c r="M3" s="38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8">
        <v>45970</v>
      </c>
    </row>
    <row r="4" spans="1:15" x14ac:dyDescent="0.35">
      <c r="A4" s="4" t="s">
        <v>65</v>
      </c>
      <c r="B4" s="4">
        <v>3</v>
      </c>
      <c r="C4" s="20">
        <v>45932</v>
      </c>
      <c r="D4" s="14">
        <f>Loan!J2/Loan!H2</f>
        <v>19000</v>
      </c>
      <c r="E4" s="20">
        <v>45932</v>
      </c>
      <c r="F4" t="s">
        <v>218</v>
      </c>
      <c r="G4" s="13">
        <f>D4</f>
        <v>19000</v>
      </c>
      <c r="H4" s="13">
        <f>MAX(0,D4-G4)</f>
        <v>0</v>
      </c>
      <c r="I4" s="13">
        <f>SUMIFS(D2:D4,A2:A4,A4)</f>
        <v>57000</v>
      </c>
      <c r="J4" s="13">
        <f>G2+G3+G4</f>
        <v>57000</v>
      </c>
      <c r="K4" s="11">
        <f t="shared" si="0"/>
        <v>0</v>
      </c>
      <c r="L4" s="3">
        <v>0</v>
      </c>
      <c r="M4" s="38">
        <f>MAX(0,L45-Table1[[#This Row],[due_date]])</f>
        <v>0</v>
      </c>
      <c r="N4" t="str">
        <f t="shared" si="1"/>
        <v>Current</v>
      </c>
      <c r="O4" s="18">
        <v>45971</v>
      </c>
    </row>
    <row r="5" spans="1:15" x14ac:dyDescent="0.35">
      <c r="A5" s="4" t="s">
        <v>69</v>
      </c>
      <c r="B5" s="4">
        <v>1</v>
      </c>
      <c r="C5" s="20">
        <v>45903</v>
      </c>
      <c r="D5" s="14">
        <f>Loan!J3/Loan!H3</f>
        <v>27133.333333333332</v>
      </c>
      <c r="E5" s="20">
        <v>45903</v>
      </c>
      <c r="F5" t="s">
        <v>218</v>
      </c>
      <c r="G5" s="13">
        <f>D5</f>
        <v>27133.333333333332</v>
      </c>
      <c r="H5" s="13">
        <f>MAX(0,D5-G5)</f>
        <v>0</v>
      </c>
      <c r="I5" s="13">
        <f>SUMIFS(D5:D5,A5,A5:A5)</f>
        <v>27133.333333333332</v>
      </c>
      <c r="J5" s="13">
        <f>Table1[[#This Row],[cumulative_due]]</f>
        <v>27133.333333333332</v>
      </c>
      <c r="K5" s="11">
        <f>Table1[[#This Row],[cumulative_due]]-Table1[[#This Row],[cumulative_paid]]</f>
        <v>0</v>
      </c>
      <c r="L5" s="3">
        <v>0</v>
      </c>
      <c r="M5" s="38">
        <f>MAX(0,L46-Table1[[#This Row],[due_date]])</f>
        <v>0</v>
      </c>
      <c r="N5" t="str">
        <f t="shared" si="1"/>
        <v>Current</v>
      </c>
      <c r="O5" s="18">
        <v>45972</v>
      </c>
    </row>
    <row r="6" spans="1:15" x14ac:dyDescent="0.35">
      <c r="A6" s="4" t="s">
        <v>69</v>
      </c>
      <c r="B6" s="4">
        <v>2</v>
      </c>
      <c r="C6" s="20">
        <v>45933</v>
      </c>
      <c r="D6" s="14">
        <f>D5</f>
        <v>27133.333333333332</v>
      </c>
      <c r="E6" s="20">
        <v>45933</v>
      </c>
      <c r="F6" t="s">
        <v>218</v>
      </c>
      <c r="G6" s="13">
        <f t="shared" ref="G6:G7" si="2">D6</f>
        <v>27133.333333333332</v>
      </c>
      <c r="H6" s="13">
        <f t="shared" ref="H6:H7" si="3">MAX(0,D6-G6)</f>
        <v>0</v>
      </c>
      <c r="I6" s="13">
        <f>SUMIFS(D5:D6,A5:A6,A5)</f>
        <v>54266.666666666664</v>
      </c>
      <c r="J6" s="13">
        <f>Table1[[#This Row],[cumulative_due]]</f>
        <v>54266.666666666664</v>
      </c>
      <c r="K6" s="11">
        <f>Table1[[#This Row],[cumulative_due]]-Table1[[#This Row],[cumulative_paid]]</f>
        <v>0</v>
      </c>
      <c r="L6" s="3">
        <v>0</v>
      </c>
      <c r="M6" s="38">
        <f>MAX(0,L47-Table1[[#This Row],[due_date]])</f>
        <v>0</v>
      </c>
      <c r="N6" t="str">
        <f t="shared" si="1"/>
        <v>Current</v>
      </c>
      <c r="O6" s="18">
        <v>45973</v>
      </c>
    </row>
    <row r="7" spans="1:15" x14ac:dyDescent="0.35">
      <c r="A7" s="4" t="s">
        <v>69</v>
      </c>
      <c r="B7" s="4">
        <v>3</v>
      </c>
      <c r="C7" s="20">
        <v>45964</v>
      </c>
      <c r="D7" s="14">
        <f>D5</f>
        <v>27133.333333333332</v>
      </c>
      <c r="E7" s="20">
        <v>45964</v>
      </c>
      <c r="F7" t="s">
        <v>218</v>
      </c>
      <c r="G7" s="13">
        <f t="shared" si="2"/>
        <v>27133.333333333332</v>
      </c>
      <c r="H7" s="13">
        <f t="shared" si="3"/>
        <v>0</v>
      </c>
      <c r="I7" s="13">
        <f>SUMIFS(D5:D7,A5:A7,A7)</f>
        <v>81400</v>
      </c>
      <c r="J7" s="13">
        <f>Table1[[#This Row],[cumulative_due]]</f>
        <v>81400</v>
      </c>
      <c r="K7" s="11">
        <f>Table1[[#This Row],[cumulative_due]]-Table1[[#This Row],[cumulative_paid]]</f>
        <v>0</v>
      </c>
      <c r="L7" s="3">
        <v>0</v>
      </c>
      <c r="M7" s="38">
        <f>MAX(0,L48-Table1[[#This Row],[due_date]])</f>
        <v>0</v>
      </c>
      <c r="N7" t="str">
        <f t="shared" si="1"/>
        <v>Current</v>
      </c>
      <c r="O7" s="18">
        <v>45974</v>
      </c>
    </row>
    <row r="8" spans="1:15" x14ac:dyDescent="0.35">
      <c r="A8" s="15" t="s">
        <v>71</v>
      </c>
      <c r="B8" s="15">
        <v>1</v>
      </c>
      <c r="C8" s="20">
        <v>45873</v>
      </c>
      <c r="D8" s="16">
        <f>Loan!J4/Loan!H4</f>
        <v>32666.666666666668</v>
      </c>
      <c r="E8" s="20">
        <v>45873</v>
      </c>
      <c r="F8" t="s">
        <v>220</v>
      </c>
      <c r="G8" s="13">
        <v>13000</v>
      </c>
      <c r="H8" s="13">
        <f>D8-G8</f>
        <v>19666.666666666668</v>
      </c>
      <c r="I8" s="13">
        <f>SUMIFS(D8:D8,A8:A8,A8)</f>
        <v>32666.666666666668</v>
      </c>
      <c r="J8" s="13">
        <f>G8</f>
        <v>13000</v>
      </c>
      <c r="K8" s="11">
        <f>I8-J8</f>
        <v>19666.666666666668</v>
      </c>
      <c r="M8" s="38">
        <f>MAX(0,L62-Table1[[#This Row],[due_date]])</f>
        <v>0</v>
      </c>
      <c r="N8" t="str">
        <f t="shared" si="1"/>
        <v>Current</v>
      </c>
      <c r="O8" s="18">
        <v>45975</v>
      </c>
    </row>
    <row r="9" spans="1:15" x14ac:dyDescent="0.35">
      <c r="A9" s="15" t="s">
        <v>71</v>
      </c>
      <c r="B9" s="15">
        <v>2</v>
      </c>
      <c r="C9" s="20">
        <v>45904</v>
      </c>
      <c r="D9" s="16">
        <f>D8</f>
        <v>32666.666666666668</v>
      </c>
      <c r="E9" s="20">
        <v>45904</v>
      </c>
      <c r="F9" t="s">
        <v>220</v>
      </c>
      <c r="G9" s="13">
        <v>10000</v>
      </c>
      <c r="H9" s="13">
        <f>D9-G9</f>
        <v>22666.666666666668</v>
      </c>
      <c r="I9" s="13">
        <f>SUMIFS(D8:D9,A8:A9,A9)</f>
        <v>65333.333333333336</v>
      </c>
      <c r="J9" s="13">
        <f>G8+G9</f>
        <v>23000</v>
      </c>
      <c r="K9" s="11">
        <f>I9-J9</f>
        <v>42333.333333333336</v>
      </c>
      <c r="M9" s="38">
        <f>MAX(0,L62-Table1[[#This Row],[due_date]])</f>
        <v>0</v>
      </c>
      <c r="N9" t="str">
        <f t="shared" si="1"/>
        <v>Current</v>
      </c>
      <c r="O9" s="18">
        <v>45976</v>
      </c>
    </row>
    <row r="10" spans="1:15" x14ac:dyDescent="0.35">
      <c r="A10" s="15" t="s">
        <v>71</v>
      </c>
      <c r="B10" s="15">
        <v>3</v>
      </c>
      <c r="C10" s="20">
        <v>45934</v>
      </c>
      <c r="D10" s="17">
        <f>D8</f>
        <v>32666.666666666668</v>
      </c>
      <c r="E10" s="20">
        <v>45934</v>
      </c>
      <c r="F10" t="s">
        <v>220</v>
      </c>
      <c r="G10" s="13">
        <v>14000</v>
      </c>
      <c r="H10" s="13">
        <f t="shared" ref="H9:H10" si="4">D10-G10</f>
        <v>18666.666666666668</v>
      </c>
      <c r="I10" s="13">
        <f>SUMIFS(D8:D10,A8:A10,A10)</f>
        <v>98000</v>
      </c>
      <c r="J10" s="13">
        <f>G8+G9+G10</f>
        <v>37000</v>
      </c>
      <c r="K10" s="11">
        <f>I10-J10</f>
        <v>61000</v>
      </c>
      <c r="M10" s="38">
        <f>MAX(0,L62-Table1[[#This Row],[due_date]])</f>
        <v>0</v>
      </c>
      <c r="N10" t="str">
        <f t="shared" si="1"/>
        <v>Current</v>
      </c>
      <c r="O10" s="18">
        <v>45977</v>
      </c>
    </row>
    <row r="11" spans="1:15" x14ac:dyDescent="0.35">
      <c r="A11" s="4" t="s">
        <v>73</v>
      </c>
      <c r="B11" s="4">
        <v>1</v>
      </c>
      <c r="C11" s="20">
        <v>45937</v>
      </c>
      <c r="D11" s="13">
        <f>Loan!J5/Loan!H5</f>
        <v>42066.666666666664</v>
      </c>
      <c r="E11" s="20" t="s">
        <v>216</v>
      </c>
      <c r="F11" t="s">
        <v>221</v>
      </c>
      <c r="G11" s="13">
        <v>0</v>
      </c>
      <c r="H11" s="13">
        <f>D11-G11</f>
        <v>42066.666666666664</v>
      </c>
      <c r="I11" s="13">
        <f>SUMIFS(D11:D11,A11:A11,A11)</f>
        <v>42066.666666666664</v>
      </c>
      <c r="J11" s="13">
        <f>G11</f>
        <v>0</v>
      </c>
      <c r="K11" s="13">
        <f>I11-J11</f>
        <v>42066.666666666664</v>
      </c>
      <c r="M11" s="38">
        <f>MAX(0,L62-Table1[[#This Row],[due_date]])</f>
        <v>0</v>
      </c>
      <c r="N11" t="str">
        <f t="shared" si="1"/>
        <v>Current</v>
      </c>
      <c r="O11" s="18">
        <v>45978</v>
      </c>
    </row>
    <row r="12" spans="1:15" x14ac:dyDescent="0.35">
      <c r="A12" s="4" t="s">
        <v>73</v>
      </c>
      <c r="B12" s="4">
        <v>2</v>
      </c>
      <c r="C12" s="20">
        <v>45968</v>
      </c>
      <c r="D12" s="13">
        <f>D11</f>
        <v>42066.666666666664</v>
      </c>
      <c r="E12" s="20" t="s">
        <v>216</v>
      </c>
      <c r="F12" t="s">
        <v>221</v>
      </c>
      <c r="G12" s="13">
        <v>0</v>
      </c>
      <c r="H12" s="13">
        <f t="shared" ref="H12:H13" si="5">D12-G12</f>
        <v>42066.666666666664</v>
      </c>
      <c r="I12" s="13">
        <f>SUMIFS(D11:D12,A11:A12,A12)</f>
        <v>84133.333333333328</v>
      </c>
      <c r="J12" s="13">
        <f t="shared" ref="J12:J13" si="6">G12</f>
        <v>0</v>
      </c>
      <c r="K12" s="13">
        <f t="shared" ref="K12:K13" si="7">I12-J12</f>
        <v>84133.333333333328</v>
      </c>
      <c r="M12" s="38">
        <f>MAX(0,L65-Table1[[#This Row],[due_date]])</f>
        <v>0</v>
      </c>
      <c r="N12" t="str">
        <f t="shared" si="1"/>
        <v>Current</v>
      </c>
      <c r="O12" s="18">
        <v>45979</v>
      </c>
    </row>
    <row r="13" spans="1:15" x14ac:dyDescent="0.35">
      <c r="A13" s="4" t="s">
        <v>73</v>
      </c>
      <c r="B13" s="4">
        <v>3</v>
      </c>
      <c r="C13" s="20">
        <v>45998</v>
      </c>
      <c r="D13" s="13">
        <f>D11</f>
        <v>42066.666666666664</v>
      </c>
      <c r="E13" s="20" t="s">
        <v>216</v>
      </c>
      <c r="F13" t="s">
        <v>221</v>
      </c>
      <c r="G13" s="13">
        <v>0</v>
      </c>
      <c r="H13" s="13">
        <f t="shared" si="5"/>
        <v>42066.666666666664</v>
      </c>
      <c r="I13" s="13">
        <f>SUMIFS(D11:D13,A11:A13,A13)</f>
        <v>126200</v>
      </c>
      <c r="J13" s="13">
        <f t="shared" si="6"/>
        <v>0</v>
      </c>
      <c r="K13" s="13">
        <f t="shared" si="7"/>
        <v>126200</v>
      </c>
      <c r="M13" s="38">
        <f>MAX(0,L66-Table1[[#This Row],[due_date]])</f>
        <v>52</v>
      </c>
      <c r="N13" t="str">
        <f t="shared" si="1"/>
        <v>31–60</v>
      </c>
      <c r="O13" s="18">
        <v>45980</v>
      </c>
    </row>
    <row r="14" spans="1:15" x14ac:dyDescent="0.35">
      <c r="A14" s="4" t="s">
        <v>75</v>
      </c>
      <c r="B14" s="4">
        <v>1</v>
      </c>
      <c r="C14" s="20">
        <v>45969</v>
      </c>
      <c r="D14" s="13">
        <f>Loan!J6/Loan!H6</f>
        <v>49533.333333333336</v>
      </c>
      <c r="E14" s="20">
        <v>45938</v>
      </c>
      <c r="F14" t="s">
        <v>222</v>
      </c>
      <c r="G14" s="13">
        <f>D14</f>
        <v>49533.333333333336</v>
      </c>
      <c r="H14" s="13">
        <f>MAX(0,D14-I14)</f>
        <v>0</v>
      </c>
      <c r="I14" s="13">
        <f>SUMIFS(D14:D14,A14:A14,A14)</f>
        <v>49533.333333333336</v>
      </c>
      <c r="J14" s="13">
        <f>I14</f>
        <v>49533.333333333336</v>
      </c>
      <c r="K14" s="11">
        <f>Table1[[#This Row],[cumulative_due]]-Table1[[#This Row],[cumulative_paid]]</f>
        <v>0</v>
      </c>
      <c r="M14" s="38">
        <f>MAX(0,L67-Table1[[#This Row],[due_date]])</f>
        <v>0</v>
      </c>
      <c r="N14" t="str">
        <f t="shared" si="1"/>
        <v>Current</v>
      </c>
      <c r="O14" s="18">
        <v>45981</v>
      </c>
    </row>
    <row r="15" spans="1:15" x14ac:dyDescent="0.35">
      <c r="A15" s="4" t="s">
        <v>75</v>
      </c>
      <c r="B15" s="4">
        <v>2</v>
      </c>
      <c r="C15" s="20">
        <v>45999</v>
      </c>
      <c r="D15" s="13">
        <f>D14</f>
        <v>49533.333333333336</v>
      </c>
      <c r="E15" s="20">
        <v>45969</v>
      </c>
      <c r="F15" t="s">
        <v>222</v>
      </c>
      <c r="G15" s="13">
        <f t="shared" ref="G15:G16" si="8">D15</f>
        <v>49533.333333333336</v>
      </c>
      <c r="H15" s="13">
        <f t="shared" ref="H15:H16" si="9">MAX(0,D15-I15)</f>
        <v>0</v>
      </c>
      <c r="I15" s="13">
        <f>SUMIFS(D15:D16,A15:A16,A15)</f>
        <v>99066.666666666672</v>
      </c>
      <c r="J15" s="13">
        <f t="shared" ref="J15:J16" si="10">I15</f>
        <v>99066.666666666672</v>
      </c>
      <c r="K15" s="11">
        <f>Table1[[#This Row],[cumulative_due]]-Table1[[#This Row],[cumulative_paid]]</f>
        <v>0</v>
      </c>
      <c r="M15" s="38">
        <f>MAX(0,L68-Table1[[#This Row],[due_date]])</f>
        <v>0</v>
      </c>
      <c r="N15" t="str">
        <f t="shared" si="1"/>
        <v>Current</v>
      </c>
      <c r="O15" s="18">
        <v>45982</v>
      </c>
    </row>
    <row r="16" spans="1:15" x14ac:dyDescent="0.35">
      <c r="A16" s="4" t="s">
        <v>75</v>
      </c>
      <c r="B16" s="4">
        <v>3</v>
      </c>
      <c r="C16" s="20">
        <v>46030</v>
      </c>
      <c r="D16" s="13">
        <f>D15</f>
        <v>49533.333333333336</v>
      </c>
      <c r="E16" s="20">
        <v>45999</v>
      </c>
      <c r="F16" t="s">
        <v>222</v>
      </c>
      <c r="G16" s="13">
        <f t="shared" si="8"/>
        <v>49533.333333333336</v>
      </c>
      <c r="H16" s="13">
        <f t="shared" si="9"/>
        <v>0</v>
      </c>
      <c r="I16" s="13">
        <f>SUMIFS(D14:D16,A14:A16,A16)</f>
        <v>148600</v>
      </c>
      <c r="J16" s="13">
        <f t="shared" si="10"/>
        <v>148600</v>
      </c>
      <c r="K16" s="11">
        <f>Table1[[#This Row],[cumulative_due]]-Table1[[#This Row],[cumulative_paid]]</f>
        <v>0</v>
      </c>
      <c r="M16" s="38">
        <f>MAX(0,L69-Table1[[#This Row],[due_date]])</f>
        <v>0</v>
      </c>
      <c r="N16" t="str">
        <f t="shared" si="1"/>
        <v>Current</v>
      </c>
      <c r="O16" s="18">
        <v>45983</v>
      </c>
    </row>
    <row r="17" spans="1:15" x14ac:dyDescent="0.35">
      <c r="A17" s="4" t="s">
        <v>77</v>
      </c>
      <c r="B17" s="4">
        <v>1</v>
      </c>
      <c r="C17" s="20">
        <v>45878</v>
      </c>
      <c r="D17" s="13">
        <f>Loan!J7/Loan!H7</f>
        <v>57666.666666666664</v>
      </c>
      <c r="E17" s="20" t="s">
        <v>216</v>
      </c>
      <c r="F17" t="s">
        <v>221</v>
      </c>
      <c r="G17" s="13">
        <v>0</v>
      </c>
      <c r="H17" s="13">
        <f>D17-G17</f>
        <v>57666.666666666664</v>
      </c>
      <c r="I17" s="13">
        <f t="shared" ref="I17:I62" si="11">SUMIFS(D15:D17,A15:A17,A17)</f>
        <v>57666.666666666664</v>
      </c>
      <c r="J17" s="13">
        <f>MAX(0,G17-I17)</f>
        <v>0</v>
      </c>
      <c r="K17" s="13">
        <f>I17-J17</f>
        <v>57666.666666666664</v>
      </c>
      <c r="M17" s="38">
        <f>MAX(0,L70-Table1[[#This Row],[due_date]])</f>
        <v>0</v>
      </c>
      <c r="N17" t="str">
        <f t="shared" si="1"/>
        <v>Current</v>
      </c>
      <c r="O17" s="18">
        <v>45984</v>
      </c>
    </row>
    <row r="18" spans="1:15" x14ac:dyDescent="0.35">
      <c r="A18" s="4" t="s">
        <v>77</v>
      </c>
      <c r="B18" s="4">
        <v>2</v>
      </c>
      <c r="C18" s="20">
        <v>45909</v>
      </c>
      <c r="D18" s="13">
        <f>Loan!J7/Loan!H7</f>
        <v>57666.666666666664</v>
      </c>
      <c r="E18" s="20">
        <v>45909</v>
      </c>
      <c r="F18" t="s">
        <v>223</v>
      </c>
      <c r="G18" s="13">
        <f>H17+D18</f>
        <v>115333.33333333333</v>
      </c>
      <c r="H18" s="13">
        <f>Table1[[#This Row],[Payment_amount]]-D17-Table1[[#This Row],[amount_due]]</f>
        <v>0</v>
      </c>
      <c r="I18" s="13">
        <f t="shared" si="11"/>
        <v>115333.33333333333</v>
      </c>
      <c r="J18" s="13">
        <f>Table1[[#This Row],[cumulative_due]]</f>
        <v>115333.33333333333</v>
      </c>
      <c r="K18" s="11">
        <f>Table1[[#This Row],[cumulative_due]]-Table1[[#This Row],[cumulative_paid]]</f>
        <v>0</v>
      </c>
      <c r="M18" s="38">
        <f>MAX(0,L71-Table1[[#This Row],[due_date]])</f>
        <v>0</v>
      </c>
      <c r="N18" t="str">
        <f t="shared" si="1"/>
        <v>Current</v>
      </c>
      <c r="O18" s="18">
        <v>45985</v>
      </c>
    </row>
    <row r="19" spans="1:15" x14ac:dyDescent="0.35">
      <c r="A19" s="4" t="s">
        <v>77</v>
      </c>
      <c r="B19" s="4">
        <v>3</v>
      </c>
      <c r="C19" s="20">
        <v>45939</v>
      </c>
      <c r="D19" s="13">
        <f>Loan!J7/Loan!H7</f>
        <v>57666.666666666664</v>
      </c>
      <c r="E19" s="20">
        <v>46000</v>
      </c>
      <c r="F19" t="s">
        <v>219</v>
      </c>
      <c r="G19" s="13">
        <f>Table1[[#This Row],[amount_due]]</f>
        <v>57666.666666666664</v>
      </c>
      <c r="H19" s="13">
        <f>Table1[[#This Row],[amount_due]]-Table1[[#This Row],[Payment_amount]]</f>
        <v>0</v>
      </c>
      <c r="I19" s="13">
        <f t="shared" si="11"/>
        <v>173000</v>
      </c>
      <c r="J19" s="13">
        <f>Table1[[#This Row],[cumulative_due]]</f>
        <v>173000</v>
      </c>
      <c r="K19" s="11">
        <f>Table1[[#This Row],[cumulative_due]]-Table1[[#This Row],[cumulative_paid]]</f>
        <v>0</v>
      </c>
      <c r="N19" t="str">
        <f t="shared" si="1"/>
        <v>Current</v>
      </c>
      <c r="O19" s="18">
        <v>45986</v>
      </c>
    </row>
    <row r="20" spans="1:15" x14ac:dyDescent="0.35">
      <c r="A20" s="4" t="s">
        <v>79</v>
      </c>
      <c r="B20" s="4">
        <v>1</v>
      </c>
      <c r="C20" s="20">
        <v>45879</v>
      </c>
      <c r="D20" s="13">
        <f>Loan!J8/Loan!H8</f>
        <v>64300</v>
      </c>
      <c r="E20" s="20">
        <v>45879</v>
      </c>
      <c r="F20" t="s">
        <v>218</v>
      </c>
      <c r="G20" s="13">
        <f>D20</f>
        <v>64300</v>
      </c>
      <c r="H20" s="13">
        <f>MAX(0,I20-D20)</f>
        <v>0</v>
      </c>
      <c r="I20" s="13">
        <f t="shared" si="11"/>
        <v>64300</v>
      </c>
      <c r="J20" s="13">
        <f>Table1[[#This Row],[cumulative_due]]</f>
        <v>64300</v>
      </c>
      <c r="K20" s="11">
        <f>Table1[[#This Row],[cumulative_due]]-Table1[[#This Row],[cumulative_paid]]</f>
        <v>0</v>
      </c>
      <c r="L20" s="3">
        <v>0</v>
      </c>
      <c r="M20" s="38">
        <f>MAX(0,L61-Table1[[#This Row],[due_date]])</f>
        <v>0</v>
      </c>
      <c r="N20" t="str">
        <f t="shared" si="1"/>
        <v>Current</v>
      </c>
      <c r="O20" s="18">
        <v>45987</v>
      </c>
    </row>
    <row r="21" spans="1:15" x14ac:dyDescent="0.35">
      <c r="A21" s="4" t="s">
        <v>79</v>
      </c>
      <c r="B21" s="4">
        <v>2</v>
      </c>
      <c r="C21" s="20">
        <v>45910</v>
      </c>
      <c r="D21" s="13">
        <f>D20</f>
        <v>64300</v>
      </c>
      <c r="E21" s="20">
        <v>45910</v>
      </c>
      <c r="F21" t="s">
        <v>218</v>
      </c>
      <c r="G21" s="13">
        <f>D21</f>
        <v>64300</v>
      </c>
      <c r="H21" s="13">
        <f>MAX(0,G21-D21)</f>
        <v>0</v>
      </c>
      <c r="I21" s="13">
        <f t="shared" si="11"/>
        <v>128600</v>
      </c>
      <c r="J21" s="13">
        <f>Table1[[#This Row],[cumulative_due]]</f>
        <v>128600</v>
      </c>
      <c r="K21" s="11">
        <f>Table1[[#This Row],[cumulative_due]]-Table1[[#This Row],[cumulative_paid]]</f>
        <v>0</v>
      </c>
      <c r="L21" s="3">
        <v>0</v>
      </c>
      <c r="M21" s="38">
        <f>MAX(0,L62-Table1[[#This Row],[due_date]])</f>
        <v>0</v>
      </c>
      <c r="N21" t="str">
        <f t="shared" si="1"/>
        <v>Current</v>
      </c>
      <c r="O21" s="18">
        <v>45988</v>
      </c>
    </row>
    <row r="22" spans="1:15" x14ac:dyDescent="0.35">
      <c r="A22" s="4" t="s">
        <v>79</v>
      </c>
      <c r="B22" s="4">
        <v>3</v>
      </c>
      <c r="C22" s="20">
        <v>45940</v>
      </c>
      <c r="D22" s="13">
        <f>D21</f>
        <v>64300</v>
      </c>
      <c r="E22" s="20">
        <v>45940</v>
      </c>
      <c r="F22" t="s">
        <v>218</v>
      </c>
      <c r="G22" s="13">
        <f>D22</f>
        <v>64300</v>
      </c>
      <c r="H22" s="13">
        <f>MAX(0,G22-D22)</f>
        <v>0</v>
      </c>
      <c r="I22" s="13">
        <f t="shared" si="11"/>
        <v>192900</v>
      </c>
      <c r="J22" s="13">
        <f>Table1[[#This Row],[cumulative_due]]</f>
        <v>192900</v>
      </c>
      <c r="K22" s="11">
        <f>Table1[[#This Row],[cumulative_due]]-Table1[[#This Row],[cumulative_paid]]</f>
        <v>0</v>
      </c>
      <c r="L22" s="3">
        <v>0</v>
      </c>
      <c r="M22" s="38">
        <f>MAX(0,L65-Table1[[#This Row],[due_date]])</f>
        <v>0</v>
      </c>
      <c r="N22" t="str">
        <f t="shared" si="1"/>
        <v>Current</v>
      </c>
      <c r="O22" s="18">
        <v>45989</v>
      </c>
    </row>
    <row r="23" spans="1:15" x14ac:dyDescent="0.35">
      <c r="A23" s="4" t="s">
        <v>81</v>
      </c>
      <c r="B23" s="4">
        <v>1</v>
      </c>
      <c r="C23" s="20">
        <v>45880</v>
      </c>
      <c r="D23" s="13">
        <f>Loan!J9/Loan!H9</f>
        <v>22733.333333333332</v>
      </c>
      <c r="E23" s="20">
        <v>45972</v>
      </c>
      <c r="F23" t="s">
        <v>219</v>
      </c>
      <c r="G23" s="13">
        <f>Table1[[#This Row],[amount_due]]</f>
        <v>22733.333333333332</v>
      </c>
      <c r="H23" s="13">
        <f>Table1[[#This Row],[Payment_amount]]-Table1[[#This Row],[amount_due]]</f>
        <v>0</v>
      </c>
      <c r="I23" s="13">
        <f t="shared" si="11"/>
        <v>22733.333333333332</v>
      </c>
      <c r="J23" s="13">
        <f>Table1[[#This Row],[Payment_amount]]</f>
        <v>22733.333333333332</v>
      </c>
      <c r="K23" s="11">
        <f>Table1[[#This Row],[cumulative_due]]-Table1[[#This Row],[cumulative_paid]]</f>
        <v>0</v>
      </c>
      <c r="M23" s="38">
        <f>MAX(0,L66-Table1[[#This Row],[due_date]])</f>
        <v>170</v>
      </c>
      <c r="N23" t="str">
        <f t="shared" si="1"/>
        <v>90+</v>
      </c>
      <c r="O23" s="18">
        <v>45990</v>
      </c>
    </row>
    <row r="24" spans="1:15" x14ac:dyDescent="0.35">
      <c r="A24" s="4" t="s">
        <v>81</v>
      </c>
      <c r="B24" s="4">
        <v>2</v>
      </c>
      <c r="C24" s="20">
        <v>45911</v>
      </c>
      <c r="D24" s="13">
        <f>D23</f>
        <v>22733.333333333332</v>
      </c>
      <c r="E24" s="20">
        <v>46002</v>
      </c>
      <c r="F24" t="s">
        <v>219</v>
      </c>
      <c r="G24" s="13">
        <f>Table1[[#This Row],[amount_due]]</f>
        <v>22733.333333333332</v>
      </c>
      <c r="H24" s="13">
        <f>Table1[[#This Row],[Payment_amount]]-Table1[[#This Row],[amount_due]]</f>
        <v>0</v>
      </c>
      <c r="I24" s="13">
        <f t="shared" si="11"/>
        <v>45466.666666666664</v>
      </c>
      <c r="J24" s="13">
        <f>G23+Table1[[#This Row],[Payment_amount]]</f>
        <v>45466.666666666664</v>
      </c>
      <c r="K24" s="11">
        <f>Table1[[#This Row],[cumulative_due]]-Table1[[#This Row],[cumulative_paid]]</f>
        <v>0</v>
      </c>
      <c r="M24" s="38">
        <f>MAX(0,L66-Table1[[#This Row],[due_date]])</f>
        <v>139</v>
      </c>
      <c r="N24" t="str">
        <f t="shared" si="1"/>
        <v>90+</v>
      </c>
      <c r="O24" s="18">
        <v>45991</v>
      </c>
    </row>
    <row r="25" spans="1:15" x14ac:dyDescent="0.35">
      <c r="A25" s="4" t="s">
        <v>81</v>
      </c>
      <c r="B25" s="4">
        <v>3</v>
      </c>
      <c r="C25" s="20">
        <v>45941</v>
      </c>
      <c r="D25" s="13">
        <f>D24</f>
        <v>22733.333333333332</v>
      </c>
      <c r="E25" s="20">
        <v>46033</v>
      </c>
      <c r="F25" t="s">
        <v>219</v>
      </c>
      <c r="G25" s="13">
        <f>Table1[[#This Row],[amount_due]]</f>
        <v>22733.333333333332</v>
      </c>
      <c r="H25" s="13">
        <f>Table1[[#This Row],[Payment_amount]]-Table1[[#This Row],[amount_due]]</f>
        <v>0</v>
      </c>
      <c r="I25" s="13">
        <f t="shared" si="11"/>
        <v>68200</v>
      </c>
      <c r="J25" s="13">
        <f>G23+G24+Table1[[#This Row],[Payment_amount]]</f>
        <v>68200</v>
      </c>
      <c r="K25" s="11">
        <f>Table1[[#This Row],[cumulative_due]]-Table1[[#This Row],[cumulative_paid]]</f>
        <v>0</v>
      </c>
      <c r="M25" s="38">
        <f>MAX(0,L66-Table1[[#This Row],[due_date]])</f>
        <v>109</v>
      </c>
      <c r="N25" t="str">
        <f t="shared" si="1"/>
        <v>90+</v>
      </c>
      <c r="O25" s="18">
        <v>45992</v>
      </c>
    </row>
    <row r="26" spans="1:15" x14ac:dyDescent="0.35">
      <c r="A26" s="4" t="s">
        <v>153</v>
      </c>
      <c r="B26" s="4">
        <v>1</v>
      </c>
      <c r="C26" s="20">
        <v>45881</v>
      </c>
      <c r="D26" s="13">
        <f>Loan!J10/Loan!H10</f>
        <v>30533.333333333332</v>
      </c>
      <c r="E26" s="20">
        <v>45881</v>
      </c>
      <c r="F26" t="s">
        <v>220</v>
      </c>
      <c r="G26" s="13">
        <v>12000</v>
      </c>
      <c r="H26" s="13">
        <f>Table1[[#This Row],[amount_due]]-Table1[[#This Row],[Payment_amount]]</f>
        <v>18533.333333333332</v>
      </c>
      <c r="I26" s="13">
        <f t="shared" si="11"/>
        <v>30533.333333333332</v>
      </c>
      <c r="J26" s="13">
        <f>Table1[[#This Row],[Payment_amount]]</f>
        <v>12000</v>
      </c>
      <c r="K26" s="11">
        <f>Table1[[#This Row],[cumulative_due]]-Table1[[#This Row],[cumulative_paid]]</f>
        <v>18533.333333333332</v>
      </c>
      <c r="M26" s="38">
        <f>MAX(0,L69-Table1[[#This Row],[due_date]])</f>
        <v>0</v>
      </c>
      <c r="N26" t="str">
        <f t="shared" si="1"/>
        <v>Current</v>
      </c>
      <c r="O26" s="18">
        <v>45993</v>
      </c>
    </row>
    <row r="27" spans="1:15" x14ac:dyDescent="0.35">
      <c r="A27" s="4" t="s">
        <v>153</v>
      </c>
      <c r="B27" s="4">
        <v>2</v>
      </c>
      <c r="C27" s="20">
        <v>45912</v>
      </c>
      <c r="D27" s="13">
        <f>D26</f>
        <v>30533.333333333332</v>
      </c>
      <c r="E27" s="20">
        <v>46003</v>
      </c>
      <c r="F27" t="s">
        <v>219</v>
      </c>
      <c r="G27" s="13">
        <f>Table1[[#This Row],[amount_due]]</f>
        <v>30533.333333333332</v>
      </c>
      <c r="H27" s="13">
        <f>Table1[[#This Row],[Payment_amount]]-Table1[[#This Row],[amount_due]]</f>
        <v>0</v>
      </c>
      <c r="I27" s="13">
        <f t="shared" si="11"/>
        <v>61066.666666666664</v>
      </c>
      <c r="J27" s="13">
        <f>G26+Table1[[#This Row],[Payment_amount]]+G2</f>
        <v>61533.333333333328</v>
      </c>
      <c r="K27" s="11"/>
      <c r="M27" s="38">
        <f>MAX(0,L70-Table1[[#This Row],[due_date]])</f>
        <v>0</v>
      </c>
      <c r="N27" t="str">
        <f t="shared" si="1"/>
        <v>Current</v>
      </c>
      <c r="O27" s="18">
        <v>45994</v>
      </c>
    </row>
    <row r="28" spans="1:15" x14ac:dyDescent="0.35">
      <c r="A28" s="4" t="s">
        <v>153</v>
      </c>
      <c r="B28" s="4">
        <v>3</v>
      </c>
      <c r="C28" s="20">
        <v>45942</v>
      </c>
      <c r="D28" s="13">
        <f>D27</f>
        <v>30533.333333333332</v>
      </c>
      <c r="E28" s="20">
        <v>46065</v>
      </c>
      <c r="F28" t="s">
        <v>219</v>
      </c>
      <c r="G28" s="13">
        <f>Table1[[#This Row],[amount_due]]</f>
        <v>30533.333333333332</v>
      </c>
      <c r="H28" s="13">
        <f>Table1[[#This Row],[Payment_amount]]-Table1[[#This Row],[amount_due]]</f>
        <v>0</v>
      </c>
      <c r="I28" s="13">
        <f t="shared" si="11"/>
        <v>91600</v>
      </c>
      <c r="J28" s="13">
        <f>G26+G27+Table1[[#This Row],[Payment_amount]]</f>
        <v>73066.666666666657</v>
      </c>
      <c r="K28" s="11"/>
      <c r="M28" s="38">
        <f>MAX(0,L71-Table1[[#This Row],[due_date]])</f>
        <v>0</v>
      </c>
      <c r="N28" t="str">
        <f t="shared" si="1"/>
        <v>Current</v>
      </c>
      <c r="O28" s="18">
        <v>45995</v>
      </c>
    </row>
    <row r="29" spans="1:15" x14ac:dyDescent="0.35">
      <c r="A29" s="4" t="s">
        <v>154</v>
      </c>
      <c r="B29" s="4">
        <v>1</v>
      </c>
      <c r="C29" s="20">
        <v>45882</v>
      </c>
      <c r="D29" s="13">
        <f>Loan!J11/Loan!H11</f>
        <v>38333.333333333336</v>
      </c>
      <c r="E29" s="20" t="s">
        <v>216</v>
      </c>
      <c r="F29" t="s">
        <v>221</v>
      </c>
      <c r="G29" s="13">
        <v>0</v>
      </c>
      <c r="H29" s="13">
        <f t="shared" ref="H29:H31" si="12">D29-G29</f>
        <v>38333.333333333336</v>
      </c>
      <c r="I29" s="13">
        <f t="shared" si="11"/>
        <v>38333.333333333336</v>
      </c>
      <c r="J29" s="13">
        <f>G29</f>
        <v>0</v>
      </c>
      <c r="K29" s="13">
        <f>I29-J29</f>
        <v>38333.333333333336</v>
      </c>
      <c r="M29" s="38">
        <f>MAX(0,L72-Table1[[#This Row],[due_date]])</f>
        <v>0</v>
      </c>
      <c r="N29" t="str">
        <f t="shared" si="1"/>
        <v>Current</v>
      </c>
      <c r="O29" s="18">
        <v>45996</v>
      </c>
    </row>
    <row r="30" spans="1:15" x14ac:dyDescent="0.35">
      <c r="A30" s="4" t="s">
        <v>154</v>
      </c>
      <c r="B30" s="4">
        <v>2</v>
      </c>
      <c r="C30" s="20">
        <v>45913</v>
      </c>
      <c r="D30" s="13">
        <f>D29</f>
        <v>38333.333333333336</v>
      </c>
      <c r="E30" s="20" t="s">
        <v>216</v>
      </c>
      <c r="F30" t="s">
        <v>221</v>
      </c>
      <c r="G30" s="13">
        <v>0</v>
      </c>
      <c r="H30" s="13">
        <f t="shared" si="12"/>
        <v>38333.333333333336</v>
      </c>
      <c r="I30" s="13">
        <f t="shared" si="11"/>
        <v>76666.666666666672</v>
      </c>
      <c r="J30" s="13">
        <f t="shared" ref="J30:J31" si="13">G30</f>
        <v>0</v>
      </c>
      <c r="K30" s="13">
        <f t="shared" ref="K30:K31" si="14">I30-J30</f>
        <v>76666.666666666672</v>
      </c>
      <c r="M30" s="38">
        <f>MAX(0,L73-Table1[[#This Row],[due_date]])</f>
        <v>0</v>
      </c>
      <c r="N30" t="str">
        <f t="shared" si="1"/>
        <v>Current</v>
      </c>
      <c r="O30" s="18">
        <v>45997</v>
      </c>
    </row>
    <row r="31" spans="1:15" x14ac:dyDescent="0.35">
      <c r="A31" s="4" t="s">
        <v>154</v>
      </c>
      <c r="B31" s="4">
        <v>3</v>
      </c>
      <c r="C31" s="20">
        <v>45943</v>
      </c>
      <c r="D31" s="13">
        <f>D30</f>
        <v>38333.333333333336</v>
      </c>
      <c r="E31" s="20" t="s">
        <v>216</v>
      </c>
      <c r="F31" t="s">
        <v>221</v>
      </c>
      <c r="G31" s="13">
        <v>0</v>
      </c>
      <c r="H31" s="13">
        <f t="shared" si="12"/>
        <v>38333.333333333336</v>
      </c>
      <c r="I31" s="13">
        <f t="shared" si="11"/>
        <v>115000</v>
      </c>
      <c r="J31" s="13">
        <f t="shared" si="13"/>
        <v>0</v>
      </c>
      <c r="K31" s="13">
        <f t="shared" si="14"/>
        <v>115000</v>
      </c>
      <c r="M31" s="38">
        <f>MAX(0,L74-Table1[[#This Row],[due_date]])</f>
        <v>0</v>
      </c>
      <c r="N31" t="str">
        <f t="shared" si="1"/>
        <v>Current</v>
      </c>
      <c r="O31" s="18">
        <v>45998</v>
      </c>
    </row>
    <row r="32" spans="1:15" x14ac:dyDescent="0.35">
      <c r="A32" s="4" t="s">
        <v>155</v>
      </c>
      <c r="B32" s="4">
        <v>1</v>
      </c>
      <c r="C32" s="20">
        <v>45883</v>
      </c>
      <c r="D32" s="13">
        <f>Loan!J12/Loan!H12</f>
        <v>45800</v>
      </c>
      <c r="E32" s="20">
        <v>45874</v>
      </c>
      <c r="F32" t="s">
        <v>222</v>
      </c>
      <c r="G32" s="13">
        <f>Table1[[#This Row],[amount_due]]</f>
        <v>45800</v>
      </c>
      <c r="H32" s="13">
        <f>Table1[[#This Row],[amount_due]]-Table1[[#This Row],[Payment_amount]]</f>
        <v>0</v>
      </c>
      <c r="I32" s="13">
        <f t="shared" si="11"/>
        <v>45800</v>
      </c>
      <c r="J32" s="13">
        <f>Table1[[#This Row],[Payment_amount]]</f>
        <v>45800</v>
      </c>
      <c r="K32" s="11">
        <f>Table1[[#This Row],[cumulative_due]]-Table1[[#This Row],[cumulative_paid]]</f>
        <v>0</v>
      </c>
      <c r="M32" s="38">
        <f>MAX(0,L75-Table1[[#This Row],[due_date]])</f>
        <v>0</v>
      </c>
      <c r="N32" t="str">
        <f t="shared" si="1"/>
        <v>Current</v>
      </c>
      <c r="O32" s="18">
        <v>45999</v>
      </c>
    </row>
    <row r="33" spans="1:15" x14ac:dyDescent="0.35">
      <c r="A33" s="4" t="s">
        <v>155</v>
      </c>
      <c r="B33" s="4">
        <v>2</v>
      </c>
      <c r="C33" s="20">
        <v>45914</v>
      </c>
      <c r="D33" s="13">
        <f>D32</f>
        <v>45800</v>
      </c>
      <c r="E33" s="20">
        <v>45901</v>
      </c>
      <c r="F33" t="s">
        <v>222</v>
      </c>
      <c r="G33" s="13">
        <f>Table1[[#This Row],[amount_due]]</f>
        <v>45800</v>
      </c>
      <c r="H33" s="13">
        <f>Table1[[#This Row],[amount_due]]-Table1[[#This Row],[Payment_amount]]</f>
        <v>0</v>
      </c>
      <c r="I33" s="13">
        <f t="shared" si="11"/>
        <v>91600</v>
      </c>
      <c r="J33" s="13">
        <f>G32+Table1[[#This Row],[Payment_amount]]</f>
        <v>91600</v>
      </c>
      <c r="K33" s="11">
        <f>Table1[[#This Row],[cumulative_due]]-Table1[[#This Row],[cumulative_paid]]</f>
        <v>0</v>
      </c>
      <c r="M33" s="38">
        <f>MAX(0,L76-Table1[[#This Row],[due_date]])</f>
        <v>0</v>
      </c>
      <c r="N33" t="str">
        <f t="shared" si="1"/>
        <v>Current</v>
      </c>
      <c r="O33" s="18">
        <v>46000</v>
      </c>
    </row>
    <row r="34" spans="1:15" x14ac:dyDescent="0.35">
      <c r="A34" s="4" t="s">
        <v>215</v>
      </c>
      <c r="B34" s="4">
        <v>3</v>
      </c>
      <c r="C34" s="20">
        <v>45944</v>
      </c>
      <c r="D34" s="13">
        <f>D32</f>
        <v>45800</v>
      </c>
      <c r="E34" s="20">
        <v>45930</v>
      </c>
      <c r="F34" t="s">
        <v>222</v>
      </c>
      <c r="G34" s="13">
        <f>Table1[[#This Row],[amount_due]]</f>
        <v>45800</v>
      </c>
      <c r="H34" s="13">
        <f>Table1[[#This Row],[amount_due]]-Table1[[#This Row],[Payment_amount]]</f>
        <v>0</v>
      </c>
      <c r="I34" s="13">
        <f>D32+D33+Table1[[#This Row],[amount_due]]</f>
        <v>137400</v>
      </c>
      <c r="J34" s="13">
        <f>G32+G33+Table1[[#This Row],[Payment_amount]]</f>
        <v>137400</v>
      </c>
      <c r="K34" s="11">
        <f>Table1[[#This Row],[cumulative_due]]-Table1[[#This Row],[cumulative_paid]]</f>
        <v>0</v>
      </c>
      <c r="M34" s="38">
        <f>MAX(0,L77-Table1[[#This Row],[due_date]])</f>
        <v>0</v>
      </c>
      <c r="N34" t="str">
        <f t="shared" si="1"/>
        <v>Current</v>
      </c>
      <c r="O34" s="18">
        <v>46001</v>
      </c>
    </row>
    <row r="35" spans="1:15" x14ac:dyDescent="0.35">
      <c r="A35" s="4" t="s">
        <v>156</v>
      </c>
      <c r="B35" s="4">
        <v>1</v>
      </c>
      <c r="C35" s="20">
        <v>45884</v>
      </c>
      <c r="D35" s="13">
        <f>Loan!J13/Loan!H13</f>
        <v>53266.666666666664</v>
      </c>
      <c r="E35" s="20" t="s">
        <v>216</v>
      </c>
      <c r="F35" t="s">
        <v>221</v>
      </c>
      <c r="G35" s="13">
        <v>0</v>
      </c>
      <c r="H35" s="13">
        <f>Table1[[#This Row],[amount_due]]-Table1[[#This Row],[Payment_amount]]</f>
        <v>53266.666666666664</v>
      </c>
      <c r="I35" s="13">
        <f t="shared" si="11"/>
        <v>53266.666666666664</v>
      </c>
      <c r="J35" s="13">
        <f>Table1[[#This Row],[Payment_amount]]</f>
        <v>0</v>
      </c>
      <c r="K35" s="11">
        <f>Table1[[#This Row],[cumulative_due]]-Table1[[#This Row],[cumulative_paid]]</f>
        <v>53266.666666666664</v>
      </c>
      <c r="M35" s="38">
        <f>MAX(0,L78-Table1[[#This Row],[due_date]])</f>
        <v>0</v>
      </c>
      <c r="N35" t="str">
        <f t="shared" si="1"/>
        <v>Current</v>
      </c>
      <c r="O35" s="18">
        <v>46002</v>
      </c>
    </row>
    <row r="36" spans="1:15" x14ac:dyDescent="0.35">
      <c r="A36" s="4" t="s">
        <v>156</v>
      </c>
      <c r="B36" s="4">
        <v>2</v>
      </c>
      <c r="C36" s="20">
        <v>45915</v>
      </c>
      <c r="D36" s="13">
        <f>D35</f>
        <v>53266.666666666664</v>
      </c>
      <c r="E36" s="20">
        <v>45915</v>
      </c>
      <c r="F36" t="s">
        <v>223</v>
      </c>
      <c r="G36" s="13">
        <f>H35+D37</f>
        <v>106533.33333333333</v>
      </c>
      <c r="H36" s="13">
        <f>Table1[[#This Row],[Payment_amount]]-I36</f>
        <v>0</v>
      </c>
      <c r="I36" s="13">
        <f t="shared" si="11"/>
        <v>106533.33333333333</v>
      </c>
      <c r="J36" s="13">
        <f>Table1[[#This Row],[Payment_amount]]</f>
        <v>106533.33333333333</v>
      </c>
      <c r="K36" s="11">
        <f>Table1[[#This Row],[cumulative_due]]-Table1[[#This Row],[cumulative_paid]]</f>
        <v>0</v>
      </c>
      <c r="M36" s="38">
        <f>MAX(0,L79-Table1[[#This Row],[due_date]])</f>
        <v>0</v>
      </c>
      <c r="N36" t="str">
        <f t="shared" si="1"/>
        <v>Current</v>
      </c>
      <c r="O36" s="18">
        <v>46003</v>
      </c>
    </row>
    <row r="37" spans="1:15" x14ac:dyDescent="0.35">
      <c r="A37" s="4" t="s">
        <v>156</v>
      </c>
      <c r="B37" s="4">
        <v>3</v>
      </c>
      <c r="C37" s="20">
        <v>45945</v>
      </c>
      <c r="D37" s="13">
        <f>D36</f>
        <v>53266.666666666664</v>
      </c>
      <c r="E37" s="20">
        <v>46006</v>
      </c>
      <c r="F37" t="s">
        <v>219</v>
      </c>
      <c r="G37" s="13">
        <f>Table1[[#This Row],[amount_due]]</f>
        <v>53266.666666666664</v>
      </c>
      <c r="H37" s="13">
        <f>Table1[[#This Row],[Payment_amount]]-Table1[[#This Row],[amount_due]]</f>
        <v>0</v>
      </c>
      <c r="I37" s="13">
        <f t="shared" si="11"/>
        <v>159800</v>
      </c>
      <c r="J37" s="13">
        <f>G36+Table1[[#This Row],[Payment_amount]]</f>
        <v>159800</v>
      </c>
      <c r="K37" s="11">
        <f>Table1[[#This Row],[cumulative_due]]-Table1[[#This Row],[cumulative_paid]]</f>
        <v>0</v>
      </c>
      <c r="M37" s="38">
        <f>MAX(0,L80-Table1[[#This Row],[due_date]])</f>
        <v>0</v>
      </c>
      <c r="N37" t="str">
        <f t="shared" si="1"/>
        <v>Current</v>
      </c>
      <c r="O37" s="18">
        <v>46004</v>
      </c>
    </row>
    <row r="38" spans="1:15" x14ac:dyDescent="0.35">
      <c r="A38" s="4" t="s">
        <v>157</v>
      </c>
      <c r="B38" s="4">
        <v>1</v>
      </c>
      <c r="C38" s="20">
        <v>45885</v>
      </c>
      <c r="D38" s="13">
        <f>Loan!J14/Loan!H14</f>
        <v>61400</v>
      </c>
      <c r="E38" s="20">
        <v>45885</v>
      </c>
      <c r="F38" t="s">
        <v>218</v>
      </c>
      <c r="G38" s="13">
        <f>Table1[[#This Row],[amount_due]]</f>
        <v>61400</v>
      </c>
      <c r="H38" s="13">
        <f>Table1[[#This Row],[Payment_amount]]-Table1[[#This Row],[amount_due]]</f>
        <v>0</v>
      </c>
      <c r="I38" s="13">
        <f t="shared" si="11"/>
        <v>61400</v>
      </c>
      <c r="J38" s="13">
        <f>Table1[[#This Row],[cumulative_due]]</f>
        <v>61400</v>
      </c>
      <c r="K38" s="11">
        <f>Table1[[#This Row],[cumulative_due]]-Table1[[#This Row],[cumulative_paid]]</f>
        <v>0</v>
      </c>
      <c r="L38" s="3">
        <v>0</v>
      </c>
      <c r="M38" s="38">
        <f>MAX(0,L81-Table1[[#This Row],[due_date]])</f>
        <v>0</v>
      </c>
      <c r="N38" t="str">
        <f t="shared" si="1"/>
        <v>Current</v>
      </c>
      <c r="O38" s="18">
        <v>46005</v>
      </c>
    </row>
    <row r="39" spans="1:15" x14ac:dyDescent="0.35">
      <c r="A39" s="4" t="s">
        <v>157</v>
      </c>
      <c r="B39" s="4">
        <v>2</v>
      </c>
      <c r="C39" s="20">
        <v>45916</v>
      </c>
      <c r="D39" s="13">
        <f>D38</f>
        <v>61400</v>
      </c>
      <c r="E39" s="20">
        <v>45916</v>
      </c>
      <c r="F39" t="s">
        <v>218</v>
      </c>
      <c r="G39" s="13">
        <f>Table1[[#This Row],[amount_due]]</f>
        <v>61400</v>
      </c>
      <c r="H39" s="13">
        <f>Table1[[#This Row],[Payment_amount]]-Table1[[#This Row],[amount_due]]</f>
        <v>0</v>
      </c>
      <c r="I39" s="13">
        <f t="shared" si="11"/>
        <v>122800</v>
      </c>
      <c r="J39" s="13">
        <f>Table1[[#This Row],[cumulative_due]]</f>
        <v>122800</v>
      </c>
      <c r="K39" s="11">
        <f>Table1[[#This Row],[cumulative_due]]-Table1[[#This Row],[cumulative_paid]]</f>
        <v>0</v>
      </c>
      <c r="L39" s="3">
        <v>0</v>
      </c>
      <c r="M39" s="38">
        <f>MAX(0,L82-Table1[[#This Row],[due_date]])</f>
        <v>0</v>
      </c>
      <c r="N39" t="str">
        <f t="shared" si="1"/>
        <v>Current</v>
      </c>
      <c r="O39" s="18">
        <v>46006</v>
      </c>
    </row>
    <row r="40" spans="1:15" x14ac:dyDescent="0.35">
      <c r="A40" s="4" t="s">
        <v>157</v>
      </c>
      <c r="B40" s="4">
        <v>3</v>
      </c>
      <c r="C40" s="20">
        <v>45946</v>
      </c>
      <c r="D40" s="13">
        <f>D39</f>
        <v>61400</v>
      </c>
      <c r="E40" s="20">
        <v>45946</v>
      </c>
      <c r="F40" t="s">
        <v>218</v>
      </c>
      <c r="G40" s="13">
        <f>Table1[[#This Row],[amount_due]]</f>
        <v>61400</v>
      </c>
      <c r="H40" s="13">
        <f>Table1[[#This Row],[Payment_amount]]-Table1[[#This Row],[amount_due]]</f>
        <v>0</v>
      </c>
      <c r="I40" s="13">
        <f t="shared" si="11"/>
        <v>184200</v>
      </c>
      <c r="J40" s="13">
        <f>Table1[[#This Row],[cumulative_due]]</f>
        <v>184200</v>
      </c>
      <c r="K40" s="11">
        <f>Table1[[#This Row],[cumulative_due]]-Table1[[#This Row],[cumulative_paid]]</f>
        <v>0</v>
      </c>
      <c r="L40" s="3">
        <v>0</v>
      </c>
      <c r="M40" s="38">
        <f>MAX(0,L83-Table1[[#This Row],[due_date]])</f>
        <v>0</v>
      </c>
      <c r="N40" t="str">
        <f t="shared" si="1"/>
        <v>Current</v>
      </c>
      <c r="O40" s="18">
        <v>46007</v>
      </c>
    </row>
    <row r="41" spans="1:15" x14ac:dyDescent="0.35">
      <c r="A41" s="4" t="s">
        <v>158</v>
      </c>
      <c r="B41" s="4">
        <v>1</v>
      </c>
      <c r="C41" s="20">
        <v>45886</v>
      </c>
      <c r="D41" s="13">
        <f>Loan!J15/Loan!H15</f>
        <v>68866.666666666672</v>
      </c>
      <c r="E41" s="20">
        <v>45937</v>
      </c>
      <c r="F41" t="s">
        <v>219</v>
      </c>
      <c r="G41" s="13">
        <f>Table1[[#This Row],[amount_due]]</f>
        <v>68866.666666666672</v>
      </c>
      <c r="H41" s="13">
        <f>Table1[[#This Row],[amount_due]]-Table1[[#This Row],[Payment_amount]]</f>
        <v>0</v>
      </c>
      <c r="I41" s="13">
        <f t="shared" si="11"/>
        <v>68866.666666666672</v>
      </c>
      <c r="J41" s="13">
        <f>Table1[[#This Row],[Payment_amount]]</f>
        <v>68866.666666666672</v>
      </c>
      <c r="K41" s="11">
        <f>Table1[[#This Row],[cumulative_due]]-Table1[[#This Row],[cumulative_paid]]</f>
        <v>0</v>
      </c>
      <c r="M41" s="38">
        <f>MAX(0,L66-Table1[[#This Row],[due_date]])</f>
        <v>164</v>
      </c>
      <c r="N41" t="str">
        <f t="shared" si="1"/>
        <v>90+</v>
      </c>
      <c r="O41" s="18">
        <v>46008</v>
      </c>
    </row>
    <row r="42" spans="1:15" x14ac:dyDescent="0.35">
      <c r="A42" s="4" t="s">
        <v>158</v>
      </c>
      <c r="B42" s="4">
        <v>2</v>
      </c>
      <c r="C42" s="20">
        <v>45917</v>
      </c>
      <c r="D42" s="13">
        <f>D41</f>
        <v>68866.666666666672</v>
      </c>
      <c r="E42" s="20">
        <v>45984</v>
      </c>
      <c r="F42" t="s">
        <v>219</v>
      </c>
      <c r="G42" s="13">
        <f>Table1[[#This Row],[amount_due]]</f>
        <v>68866.666666666672</v>
      </c>
      <c r="H42" s="13">
        <f>Table1[[#This Row],[amount_due]]-Table1[[#This Row],[Payment_amount]]</f>
        <v>0</v>
      </c>
      <c r="I42" s="13">
        <f t="shared" si="11"/>
        <v>137733.33333333334</v>
      </c>
      <c r="J42" s="13">
        <f>J41+Table1[[#This Row],[Payment_amount]]</f>
        <v>137733.33333333334</v>
      </c>
      <c r="K42" s="11">
        <f>Table1[[#This Row],[cumulative_due]]-Table1[[#This Row],[cumulative_paid]]</f>
        <v>0</v>
      </c>
      <c r="M42" s="38">
        <f>MAX(0,L66-Table1[[#This Row],[due_date]])</f>
        <v>133</v>
      </c>
      <c r="N42" t="str">
        <f t="shared" si="1"/>
        <v>90+</v>
      </c>
      <c r="O42" s="18">
        <v>46009</v>
      </c>
    </row>
    <row r="43" spans="1:15" x14ac:dyDescent="0.35">
      <c r="A43" s="4" t="s">
        <v>158</v>
      </c>
      <c r="B43" s="4">
        <v>3</v>
      </c>
      <c r="C43" s="20">
        <v>45947</v>
      </c>
      <c r="D43" s="13">
        <f>D42</f>
        <v>68866.666666666672</v>
      </c>
      <c r="E43" s="20">
        <v>46018</v>
      </c>
      <c r="F43" t="s">
        <v>219</v>
      </c>
      <c r="G43" s="13">
        <f>Table1[[#This Row],[amount_due]]</f>
        <v>68866.666666666672</v>
      </c>
      <c r="H43" s="13">
        <f>Table1[[#This Row],[amount_due]]-Table1[[#This Row],[Payment_amount]]</f>
        <v>0</v>
      </c>
      <c r="I43" s="13">
        <f t="shared" si="11"/>
        <v>206600</v>
      </c>
      <c r="J43" s="13">
        <f>J42+Table1[[#This Row],[Payment_amount]]</f>
        <v>206600</v>
      </c>
      <c r="K43" s="11">
        <f>Table1[[#This Row],[cumulative_due]]-Table1[[#This Row],[cumulative_paid]]</f>
        <v>0</v>
      </c>
      <c r="M43" s="38">
        <f>MAX(0,L66-Table1[[#This Row],[due_date]])</f>
        <v>103</v>
      </c>
      <c r="N43" t="str">
        <f t="shared" si="1"/>
        <v>90+</v>
      </c>
      <c r="O43" s="18">
        <v>46010</v>
      </c>
    </row>
    <row r="44" spans="1:15" x14ac:dyDescent="0.35">
      <c r="A44" s="4" t="s">
        <v>159</v>
      </c>
      <c r="B44" s="4">
        <v>1</v>
      </c>
      <c r="C44" s="20">
        <v>45887</v>
      </c>
      <c r="D44" s="13">
        <f>Loan!J16/Loan!H16</f>
        <v>76333.333333333328</v>
      </c>
      <c r="E44" s="20">
        <v>45887</v>
      </c>
      <c r="F44" t="s">
        <v>220</v>
      </c>
      <c r="G44" s="13"/>
      <c r="I44" s="13">
        <f t="shared" si="11"/>
        <v>76333.333333333328</v>
      </c>
      <c r="J44" s="13"/>
      <c r="K44" s="11"/>
      <c r="M44" s="38">
        <f>MAX(0,L87-Table1[[#This Row],[due_date]])</f>
        <v>0</v>
      </c>
      <c r="N44" t="str">
        <f t="shared" si="1"/>
        <v>Current</v>
      </c>
      <c r="O44" s="18">
        <v>46011</v>
      </c>
    </row>
    <row r="45" spans="1:15" x14ac:dyDescent="0.35">
      <c r="A45" s="4" t="s">
        <v>159</v>
      </c>
      <c r="B45" s="4">
        <v>2</v>
      </c>
      <c r="C45" s="20">
        <v>45918</v>
      </c>
      <c r="D45" s="13">
        <f>D44</f>
        <v>76333.333333333328</v>
      </c>
      <c r="E45" s="20">
        <v>45918</v>
      </c>
      <c r="F45" t="s">
        <v>220</v>
      </c>
      <c r="G45" s="13"/>
      <c r="I45" s="13">
        <f t="shared" si="11"/>
        <v>152666.66666666666</v>
      </c>
      <c r="J45" s="13"/>
      <c r="K45" s="11"/>
      <c r="M45" s="38">
        <f>MAX(0,L88-Table1[[#This Row],[due_date]])</f>
        <v>0</v>
      </c>
      <c r="N45" t="str">
        <f t="shared" si="1"/>
        <v>Current</v>
      </c>
      <c r="O45" s="18">
        <v>46012</v>
      </c>
    </row>
    <row r="46" spans="1:15" x14ac:dyDescent="0.35">
      <c r="A46" s="4" t="s">
        <v>159</v>
      </c>
      <c r="B46" s="4">
        <v>3</v>
      </c>
      <c r="C46" s="20">
        <v>45948</v>
      </c>
      <c r="D46" s="13">
        <f>D45</f>
        <v>76333.333333333328</v>
      </c>
      <c r="E46" s="20">
        <v>45948</v>
      </c>
      <c r="F46" t="s">
        <v>220</v>
      </c>
      <c r="G46" s="13"/>
      <c r="I46" s="13">
        <f t="shared" si="11"/>
        <v>229000</v>
      </c>
      <c r="J46" s="13"/>
      <c r="K46" s="11"/>
      <c r="M46" s="38">
        <f>MAX(0,L89-Table1[[#This Row],[due_date]])</f>
        <v>0</v>
      </c>
      <c r="N46" t="str">
        <f t="shared" si="1"/>
        <v>Current</v>
      </c>
      <c r="O46" s="18">
        <v>46013</v>
      </c>
    </row>
    <row r="47" spans="1:15" x14ac:dyDescent="0.35">
      <c r="A47" s="4" t="s">
        <v>160</v>
      </c>
      <c r="B47" s="4">
        <v>1</v>
      </c>
      <c r="C47" s="20">
        <v>45888</v>
      </c>
      <c r="D47" s="13">
        <f>Loan!J17/Loan!H17</f>
        <v>26800</v>
      </c>
      <c r="E47" s="20">
        <v>45888</v>
      </c>
      <c r="F47" t="s">
        <v>221</v>
      </c>
      <c r="G47" s="13"/>
      <c r="I47" s="13">
        <f t="shared" si="11"/>
        <v>26800</v>
      </c>
      <c r="J47" s="13"/>
      <c r="K47" s="13"/>
      <c r="M47" s="38">
        <f>MAX(0,L90-Table1[[#This Row],[due_date]])</f>
        <v>0</v>
      </c>
      <c r="N47" t="str">
        <f t="shared" si="1"/>
        <v>Current</v>
      </c>
      <c r="O47" s="18">
        <v>46014</v>
      </c>
    </row>
    <row r="48" spans="1:15" x14ac:dyDescent="0.35">
      <c r="A48" s="4" t="s">
        <v>160</v>
      </c>
      <c r="B48" s="4">
        <v>2</v>
      </c>
      <c r="C48" s="20">
        <v>45919</v>
      </c>
      <c r="D48" s="13">
        <f>D47</f>
        <v>26800</v>
      </c>
      <c r="E48" s="20">
        <v>45919</v>
      </c>
      <c r="F48" t="s">
        <v>221</v>
      </c>
      <c r="G48" s="13"/>
      <c r="I48" s="13">
        <f t="shared" si="11"/>
        <v>53600</v>
      </c>
      <c r="J48" s="13"/>
      <c r="K48" s="13"/>
      <c r="M48" s="38">
        <f>MAX(0,L91-Table1[[#This Row],[due_date]])</f>
        <v>0</v>
      </c>
      <c r="N48" t="str">
        <f t="shared" si="1"/>
        <v>Current</v>
      </c>
      <c r="O48" s="18">
        <v>46015</v>
      </c>
    </row>
    <row r="49" spans="1:15" x14ac:dyDescent="0.35">
      <c r="A49" s="4" t="s">
        <v>214</v>
      </c>
      <c r="B49" s="4">
        <v>3</v>
      </c>
      <c r="C49" s="20">
        <v>45949</v>
      </c>
      <c r="D49" s="13">
        <f>D48</f>
        <v>26800</v>
      </c>
      <c r="E49" s="20">
        <v>45949</v>
      </c>
      <c r="F49" t="s">
        <v>221</v>
      </c>
      <c r="G49" s="13"/>
      <c r="I49" s="13">
        <f t="shared" si="11"/>
        <v>26800</v>
      </c>
      <c r="J49" s="13"/>
      <c r="K49" s="13"/>
      <c r="M49" s="38">
        <f>MAX(0,L92-Table1[[#This Row],[due_date]])</f>
        <v>0</v>
      </c>
      <c r="N49" t="str">
        <f t="shared" si="1"/>
        <v>Current</v>
      </c>
      <c r="O49" s="18">
        <v>46016</v>
      </c>
    </row>
    <row r="50" spans="1:15" x14ac:dyDescent="0.35">
      <c r="A50" s="4" t="s">
        <v>161</v>
      </c>
      <c r="B50" s="4">
        <v>1</v>
      </c>
      <c r="C50" s="20">
        <v>45889</v>
      </c>
      <c r="D50" s="13">
        <f>Loan!J18/Loan!H18</f>
        <v>34266.666666666664</v>
      </c>
      <c r="E50" s="20">
        <v>45874</v>
      </c>
      <c r="F50" t="s">
        <v>222</v>
      </c>
      <c r="G50" s="13">
        <f>Table1[[#This Row],[amount_due]]</f>
        <v>34266.666666666664</v>
      </c>
      <c r="H50" s="13">
        <f>Table1[[#This Row],[amount_due]]-Table1[[#This Row],[Payment_amount]]</f>
        <v>0</v>
      </c>
      <c r="I50" s="13">
        <f t="shared" si="11"/>
        <v>34266.666666666664</v>
      </c>
      <c r="J50" s="13">
        <f>Table1[[#This Row],[Payment_amount]]</f>
        <v>34266.666666666664</v>
      </c>
      <c r="K50" s="11">
        <f>Table1[[#This Row],[cumulative_due]]-Table1[[#This Row],[cumulative_paid]]</f>
        <v>0</v>
      </c>
      <c r="M50" s="38">
        <f>MAX(0,L93-Table1[[#This Row],[due_date]])</f>
        <v>0</v>
      </c>
      <c r="N50" t="str">
        <f t="shared" si="1"/>
        <v>Current</v>
      </c>
      <c r="O50" s="18">
        <v>46017</v>
      </c>
    </row>
    <row r="51" spans="1:15" x14ac:dyDescent="0.35">
      <c r="A51" s="4" t="s">
        <v>161</v>
      </c>
      <c r="B51" s="4">
        <v>2</v>
      </c>
      <c r="C51" s="20">
        <v>45920</v>
      </c>
      <c r="D51" s="13">
        <f>D50</f>
        <v>34266.666666666664</v>
      </c>
      <c r="E51" s="20">
        <v>45901</v>
      </c>
      <c r="F51" t="s">
        <v>222</v>
      </c>
      <c r="G51" s="13">
        <f>Table1[[#This Row],[amount_due]]</f>
        <v>34266.666666666664</v>
      </c>
      <c r="H51" s="13">
        <f>Table1[[#This Row],[amount_due]]-Table1[[#This Row],[Payment_amount]]</f>
        <v>0</v>
      </c>
      <c r="I51" s="13">
        <f t="shared" si="11"/>
        <v>68533.333333333328</v>
      </c>
      <c r="J51" s="13">
        <f>G50+Table1[[#This Row],[Payment_amount]]</f>
        <v>68533.333333333328</v>
      </c>
      <c r="K51" s="11">
        <f>Table1[[#This Row],[cumulative_due]]-Table1[[#This Row],[cumulative_paid]]</f>
        <v>0</v>
      </c>
      <c r="M51" s="38">
        <f>MAX(0,L94-Table1[[#This Row],[due_date]])</f>
        <v>0</v>
      </c>
      <c r="N51" t="str">
        <f t="shared" si="1"/>
        <v>Current</v>
      </c>
      <c r="O51" s="18">
        <v>46018</v>
      </c>
    </row>
    <row r="52" spans="1:15" x14ac:dyDescent="0.35">
      <c r="A52" s="4" t="s">
        <v>161</v>
      </c>
      <c r="B52" s="4">
        <v>3</v>
      </c>
      <c r="C52" s="20">
        <v>45950</v>
      </c>
      <c r="D52" s="13">
        <f>D51</f>
        <v>34266.666666666664</v>
      </c>
      <c r="E52" s="20">
        <v>45931</v>
      </c>
      <c r="F52" t="s">
        <v>222</v>
      </c>
      <c r="G52" s="13">
        <f>Table1[[#This Row],[amount_due]]</f>
        <v>34266.666666666664</v>
      </c>
      <c r="H52" s="13">
        <f>Table1[[#This Row],[amount_due]]-Table1[[#This Row],[Payment_amount]]</f>
        <v>0</v>
      </c>
      <c r="I52" s="13">
        <f t="shared" si="11"/>
        <v>102800</v>
      </c>
      <c r="J52" s="13">
        <f>G50+G51+Table1[[#This Row],[Payment_amount]]</f>
        <v>102800</v>
      </c>
      <c r="K52" s="11">
        <f>Table1[[#This Row],[cumulative_due]]-Table1[[#This Row],[cumulative_paid]]</f>
        <v>0</v>
      </c>
      <c r="M52" s="38">
        <f>MAX(0,L95-Table1[[#This Row],[due_date]])</f>
        <v>0</v>
      </c>
      <c r="N52" t="str">
        <f t="shared" si="1"/>
        <v>Current</v>
      </c>
      <c r="O52" s="18">
        <v>46019</v>
      </c>
    </row>
    <row r="53" spans="1:15" x14ac:dyDescent="0.35">
      <c r="A53" s="4" t="s">
        <v>162</v>
      </c>
      <c r="B53" s="4">
        <v>1</v>
      </c>
      <c r="C53" s="20">
        <v>45890</v>
      </c>
      <c r="D53" s="13">
        <f>Loan!J19/Loan!H19</f>
        <v>42066.666666666664</v>
      </c>
      <c r="E53" s="20">
        <v>45890</v>
      </c>
      <c r="F53" t="s">
        <v>223</v>
      </c>
      <c r="G53" s="13"/>
      <c r="I53" s="13">
        <f t="shared" si="11"/>
        <v>42066.666666666664</v>
      </c>
      <c r="J53" s="13"/>
      <c r="K53" s="11"/>
      <c r="M53" s="38">
        <f>MAX(0,L96-Table1[[#This Row],[due_date]])</f>
        <v>0</v>
      </c>
      <c r="N53" t="str">
        <f t="shared" si="1"/>
        <v>Current</v>
      </c>
      <c r="O53" s="18">
        <v>46020</v>
      </c>
    </row>
    <row r="54" spans="1:15" x14ac:dyDescent="0.35">
      <c r="A54" s="4" t="s">
        <v>162</v>
      </c>
      <c r="B54" s="4">
        <v>2</v>
      </c>
      <c r="C54" s="20">
        <v>45921</v>
      </c>
      <c r="D54" s="13">
        <f>D53</f>
        <v>42066.666666666664</v>
      </c>
      <c r="E54" s="20">
        <v>45921</v>
      </c>
      <c r="F54" t="s">
        <v>223</v>
      </c>
      <c r="G54" s="13"/>
      <c r="I54" s="13">
        <f t="shared" si="11"/>
        <v>84133.333333333328</v>
      </c>
      <c r="J54" s="13"/>
      <c r="K54" s="11"/>
      <c r="M54" s="38">
        <f>MAX(0,L97-Table1[[#This Row],[due_date]])</f>
        <v>0</v>
      </c>
      <c r="N54" t="str">
        <f t="shared" si="1"/>
        <v>Current</v>
      </c>
      <c r="O54" s="18">
        <v>46021</v>
      </c>
    </row>
    <row r="55" spans="1:15" x14ac:dyDescent="0.35">
      <c r="A55" s="4" t="s">
        <v>162</v>
      </c>
      <c r="B55" s="4">
        <v>3</v>
      </c>
      <c r="C55" s="20">
        <v>45951</v>
      </c>
      <c r="D55" s="13">
        <f>D54</f>
        <v>42066.666666666664</v>
      </c>
      <c r="E55" s="20">
        <v>45951</v>
      </c>
      <c r="F55" t="s">
        <v>223</v>
      </c>
      <c r="G55" s="13"/>
      <c r="I55" s="13">
        <f t="shared" si="11"/>
        <v>126200</v>
      </c>
      <c r="J55" s="13"/>
      <c r="K55" s="11"/>
      <c r="M55" s="38">
        <f>MAX(0,L98-Table1[[#This Row],[due_date]])</f>
        <v>0</v>
      </c>
      <c r="N55" t="str">
        <f t="shared" si="1"/>
        <v>Current</v>
      </c>
      <c r="O55" s="18">
        <v>46022</v>
      </c>
    </row>
    <row r="56" spans="1:15" x14ac:dyDescent="0.35">
      <c r="A56" s="4" t="s">
        <v>163</v>
      </c>
      <c r="B56" s="4">
        <v>1</v>
      </c>
      <c r="C56" s="20">
        <v>45891</v>
      </c>
      <c r="D56" s="13">
        <f>Loan!J20/Loan!H20</f>
        <v>19000</v>
      </c>
      <c r="E56" s="20">
        <v>45891</v>
      </c>
      <c r="F56" t="s">
        <v>218</v>
      </c>
      <c r="G56" s="13">
        <f>Table1[[#This Row],[amount_due]]</f>
        <v>19000</v>
      </c>
      <c r="H56" s="13">
        <f>Table1[[#This Row],[Payment_amount]]-Table1[[#This Row],[amount_due]]</f>
        <v>0</v>
      </c>
      <c r="I56" s="13">
        <f t="shared" si="11"/>
        <v>19000</v>
      </c>
      <c r="J56" s="13">
        <f>Table1[[#This Row],[cumulative_due]]</f>
        <v>19000</v>
      </c>
      <c r="K56" s="11">
        <f>Table1[[#This Row],[cumulative_due]]-Table1[[#This Row],[cumulative_paid]]</f>
        <v>0</v>
      </c>
      <c r="L56" s="3">
        <v>0</v>
      </c>
      <c r="M56" s="38">
        <f>MAX(0,L99-Table1[[#This Row],[due_date]])</f>
        <v>0</v>
      </c>
      <c r="N56" t="str">
        <f t="shared" si="1"/>
        <v>Current</v>
      </c>
      <c r="O56" s="18">
        <v>46023</v>
      </c>
    </row>
    <row r="57" spans="1:15" x14ac:dyDescent="0.35">
      <c r="A57" s="4" t="s">
        <v>163</v>
      </c>
      <c r="B57" s="4">
        <v>2</v>
      </c>
      <c r="C57" s="20">
        <v>45922</v>
      </c>
      <c r="D57" s="13">
        <f>D56</f>
        <v>19000</v>
      </c>
      <c r="E57" s="20">
        <v>45922</v>
      </c>
      <c r="F57" t="s">
        <v>218</v>
      </c>
      <c r="G57" s="13">
        <f>Table1[[#This Row],[amount_due]]</f>
        <v>19000</v>
      </c>
      <c r="H57" s="13">
        <f>Table1[[#This Row],[Payment_amount]]-Table1[[#This Row],[amount_due]]</f>
        <v>0</v>
      </c>
      <c r="I57" s="13">
        <f t="shared" si="11"/>
        <v>38000</v>
      </c>
      <c r="J57" s="13">
        <f>Table1[[#This Row],[cumulative_due]]</f>
        <v>38000</v>
      </c>
      <c r="K57" s="11">
        <f>Table1[[#This Row],[cumulative_due]]-Table1[[#This Row],[cumulative_paid]]</f>
        <v>0</v>
      </c>
      <c r="L57" s="3">
        <v>0</v>
      </c>
      <c r="M57" s="38">
        <f>MAX(0,L100-Table1[[#This Row],[due_date]])</f>
        <v>0</v>
      </c>
      <c r="N57" t="str">
        <f t="shared" si="1"/>
        <v>Current</v>
      </c>
      <c r="O57" s="18">
        <v>46024</v>
      </c>
    </row>
    <row r="58" spans="1:15" x14ac:dyDescent="0.35">
      <c r="A58" s="4" t="s">
        <v>163</v>
      </c>
      <c r="B58" s="4">
        <v>3</v>
      </c>
      <c r="C58" s="20">
        <v>45952</v>
      </c>
      <c r="D58" s="13">
        <f>D56</f>
        <v>19000</v>
      </c>
      <c r="E58" s="20">
        <v>45952</v>
      </c>
      <c r="F58" t="s">
        <v>218</v>
      </c>
      <c r="G58" s="13">
        <f>Table1[[#This Row],[amount_due]]</f>
        <v>19000</v>
      </c>
      <c r="H58" s="13">
        <f>Table1[[#This Row],[Payment_amount]]-Table1[[#This Row],[amount_due]]</f>
        <v>0</v>
      </c>
      <c r="I58" s="13">
        <f t="shared" si="11"/>
        <v>57000</v>
      </c>
      <c r="J58" s="13">
        <f>Table1[[#This Row],[cumulative_due]]</f>
        <v>57000</v>
      </c>
      <c r="K58" s="11">
        <f>Table1[[#This Row],[cumulative_due]]-Table1[[#This Row],[cumulative_paid]]</f>
        <v>0</v>
      </c>
      <c r="L58" s="3">
        <v>0</v>
      </c>
      <c r="M58" s="38">
        <f>MAX(0,L101-Table1[[#This Row],[due_date]])</f>
        <v>0</v>
      </c>
      <c r="N58" t="str">
        <f t="shared" si="1"/>
        <v>Current</v>
      </c>
      <c r="O58" s="18">
        <v>46025</v>
      </c>
    </row>
    <row r="59" spans="1:15" x14ac:dyDescent="0.35">
      <c r="A59" s="4" t="s">
        <v>164</v>
      </c>
      <c r="B59" s="4">
        <v>1</v>
      </c>
      <c r="C59" s="20">
        <v>45892</v>
      </c>
      <c r="D59" s="13">
        <f>Loan!J21/Loan!H21</f>
        <v>28333.333333333332</v>
      </c>
      <c r="E59" s="20">
        <v>45892</v>
      </c>
      <c r="F59" t="s">
        <v>219</v>
      </c>
      <c r="G59" s="13">
        <f>Table1[[#This Row],[amount_due]]</f>
        <v>28333.333333333332</v>
      </c>
      <c r="I59" s="13">
        <f t="shared" si="11"/>
        <v>28333.333333333332</v>
      </c>
      <c r="J59" s="13">
        <f>Table1[[#This Row],[Payment_amount]]</f>
        <v>28333.333333333332</v>
      </c>
      <c r="K59" s="11">
        <f>Table1[[#This Row],[cumulative_due]]-Table1[[#This Row],[cumulative_paid]]</f>
        <v>0</v>
      </c>
      <c r="M59" s="38">
        <f>MAX(0,L66-Table1[[#This Row],[due_date]])</f>
        <v>158</v>
      </c>
      <c r="N59" t="str">
        <f t="shared" si="1"/>
        <v>90+</v>
      </c>
      <c r="O59" s="18">
        <v>46026</v>
      </c>
    </row>
    <row r="60" spans="1:15" x14ac:dyDescent="0.35">
      <c r="A60" s="4" t="s">
        <v>164</v>
      </c>
      <c r="B60" s="4">
        <v>2</v>
      </c>
      <c r="C60" s="20">
        <v>45923</v>
      </c>
      <c r="D60" s="13">
        <f>D59</f>
        <v>28333.333333333332</v>
      </c>
      <c r="E60" s="20">
        <v>45923</v>
      </c>
      <c r="F60" t="s">
        <v>219</v>
      </c>
      <c r="G60" s="13">
        <f>Table1[[#This Row],[amount_due]]</f>
        <v>28333.333333333332</v>
      </c>
      <c r="I60" s="13">
        <f t="shared" si="11"/>
        <v>56666.666666666664</v>
      </c>
      <c r="J60" s="13">
        <f>J59+G59</f>
        <v>56666.666666666664</v>
      </c>
      <c r="K60" s="11">
        <f>Table1[[#This Row],[cumulative_due]]-Table1[[#This Row],[cumulative_paid]]</f>
        <v>0</v>
      </c>
      <c r="M60" s="38">
        <f>MAX(0,L66-Table1[[#This Row],[due_date]])</f>
        <v>127</v>
      </c>
      <c r="N60" t="str">
        <f t="shared" si="1"/>
        <v>90+</v>
      </c>
      <c r="O60" s="18">
        <v>46027</v>
      </c>
    </row>
    <row r="61" spans="1:15" x14ac:dyDescent="0.35">
      <c r="A61" s="4" t="s">
        <v>164</v>
      </c>
      <c r="B61" s="4">
        <v>3</v>
      </c>
      <c r="C61" s="20">
        <v>45953</v>
      </c>
      <c r="D61" s="13">
        <f>D59</f>
        <v>28333.333333333332</v>
      </c>
      <c r="E61" s="20">
        <v>45953</v>
      </c>
      <c r="F61" t="s">
        <v>219</v>
      </c>
      <c r="G61" s="13">
        <f>Table1[[#This Row],[amount_due]]</f>
        <v>28333.333333333332</v>
      </c>
      <c r="I61" s="13">
        <f t="shared" si="11"/>
        <v>85000</v>
      </c>
      <c r="J61" s="13">
        <f>J60+G60</f>
        <v>85000</v>
      </c>
      <c r="K61" s="11">
        <f>Table1[[#This Row],[cumulative_due]]-Table1[[#This Row],[cumulative_paid]]</f>
        <v>0</v>
      </c>
      <c r="M61" s="38">
        <f>MAX(0,L66-Table1[[#This Row],[due_date]])</f>
        <v>97</v>
      </c>
      <c r="N61" t="str">
        <f t="shared" si="1"/>
        <v>90+</v>
      </c>
      <c r="O61" s="18">
        <v>46028</v>
      </c>
    </row>
    <row r="62" spans="1:15" x14ac:dyDescent="0.35">
      <c r="A62" s="4"/>
      <c r="G62" s="13"/>
      <c r="I62" s="13">
        <f t="shared" si="11"/>
        <v>0</v>
      </c>
      <c r="J62" s="13"/>
      <c r="K62" s="11"/>
      <c r="M62" s="38">
        <f>MAX(0,L105-Table1[[#This Row],[due_date]])</f>
        <v>0</v>
      </c>
      <c r="N62" t="str">
        <f t="shared" si="1"/>
        <v>Current</v>
      </c>
      <c r="O62" s="18">
        <v>46029</v>
      </c>
    </row>
    <row r="63" spans="1:15" x14ac:dyDescent="0.35">
      <c r="A63" s="4"/>
      <c r="B63" s="4"/>
      <c r="C63" s="20"/>
      <c r="E63" s="20"/>
      <c r="G63" s="13"/>
      <c r="J63" s="13"/>
      <c r="K63" s="11"/>
      <c r="M63" s="38">
        <f>MAX(0,L104-Table1[[#This Row],[due_date]])</f>
        <v>0</v>
      </c>
      <c r="N63" t="str">
        <f t="shared" si="1"/>
        <v>Current</v>
      </c>
      <c r="O63" s="40">
        <f t="shared" ref="O63:O64" si="15">L123</f>
        <v>0</v>
      </c>
    </row>
    <row r="64" spans="1:15" x14ac:dyDescent="0.35">
      <c r="A64" s="4"/>
      <c r="B64" s="4"/>
      <c r="C64" s="20"/>
      <c r="E64" s="20"/>
      <c r="G64" s="13"/>
      <c r="J64" s="13"/>
      <c r="K64" s="11"/>
      <c r="M64" s="38">
        <f>MAX(0,L105-Table1[[#This Row],[due_date]])</f>
        <v>0</v>
      </c>
      <c r="N64" t="str">
        <f t="shared" si="1"/>
        <v>Current</v>
      </c>
      <c r="O64" s="40">
        <f t="shared" si="15"/>
        <v>0</v>
      </c>
    </row>
    <row r="66" spans="11:12" x14ac:dyDescent="0.35">
      <c r="K66" s="3" t="s">
        <v>259</v>
      </c>
      <c r="L66" s="8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abSelected="1" workbookViewId="0">
      <selection activeCell="B17" sqref="B17"/>
    </sheetView>
  </sheetViews>
  <sheetFormatPr defaultRowHeight="14.5" x14ac:dyDescent="0.35"/>
  <cols>
    <col min="1" max="1" width="23.7265625" bestFit="1" customWidth="1"/>
    <col min="2" max="2" width="72.7265625" style="3" bestFit="1" customWidth="1"/>
    <col min="3" max="3" width="84.54296875" style="3" bestFit="1" customWidth="1"/>
  </cols>
  <sheetData>
    <row r="1" spans="1:3" x14ac:dyDescent="0.35">
      <c r="A1" s="35" t="s">
        <v>226</v>
      </c>
      <c r="B1" s="36" t="s">
        <v>227</v>
      </c>
      <c r="C1" s="36" t="s">
        <v>228</v>
      </c>
    </row>
    <row r="2" spans="1:3" x14ac:dyDescent="0.35">
      <c r="A2" s="33" t="s">
        <v>229</v>
      </c>
      <c r="B2" s="34" t="s">
        <v>230</v>
      </c>
      <c r="C2" s="34" t="s">
        <v>231</v>
      </c>
    </row>
    <row r="3" spans="1:3" x14ac:dyDescent="0.35">
      <c r="A3" s="33" t="s">
        <v>232</v>
      </c>
      <c r="B3" s="34" t="s">
        <v>233</v>
      </c>
      <c r="C3" s="34" t="s">
        <v>234</v>
      </c>
    </row>
    <row r="4" spans="1:3" x14ac:dyDescent="0.35">
      <c r="A4" s="33" t="s">
        <v>235</v>
      </c>
      <c r="B4" s="34" t="s">
        <v>256</v>
      </c>
      <c r="C4" s="34" t="s">
        <v>236</v>
      </c>
    </row>
    <row r="5" spans="1:3" x14ac:dyDescent="0.35">
      <c r="A5" s="33" t="s">
        <v>237</v>
      </c>
      <c r="B5" s="34" t="s">
        <v>238</v>
      </c>
      <c r="C5" s="34" t="s">
        <v>239</v>
      </c>
    </row>
    <row r="6" spans="1:3" x14ac:dyDescent="0.35">
      <c r="A6" s="33" t="s">
        <v>240</v>
      </c>
      <c r="B6" s="34" t="s">
        <v>241</v>
      </c>
      <c r="C6" s="34" t="s">
        <v>242</v>
      </c>
    </row>
    <row r="7" spans="1:3" x14ac:dyDescent="0.35">
      <c r="A7" s="33" t="s">
        <v>243</v>
      </c>
      <c r="B7" s="34" t="s">
        <v>244</v>
      </c>
      <c r="C7" s="34" t="s">
        <v>245</v>
      </c>
    </row>
    <row r="8" spans="1:3" x14ac:dyDescent="0.35">
      <c r="A8" s="33" t="s">
        <v>246</v>
      </c>
      <c r="B8" s="34" t="s">
        <v>247</v>
      </c>
      <c r="C8" s="34" t="s">
        <v>248</v>
      </c>
    </row>
    <row r="9" spans="1:3" x14ac:dyDescent="0.35">
      <c r="A9" s="33" t="s">
        <v>249</v>
      </c>
      <c r="B9" s="34" t="s">
        <v>250</v>
      </c>
      <c r="C9" s="34" t="s">
        <v>251</v>
      </c>
    </row>
    <row r="10" spans="1:3" x14ac:dyDescent="0.35">
      <c r="A10" s="33" t="s">
        <v>186</v>
      </c>
      <c r="B10" s="34" t="s">
        <v>252</v>
      </c>
      <c r="C10" s="34" t="s">
        <v>253</v>
      </c>
    </row>
    <row r="11" spans="1:3" x14ac:dyDescent="0.35">
      <c r="A11" s="33" t="s">
        <v>187</v>
      </c>
      <c r="B11" s="34" t="s">
        <v>254</v>
      </c>
      <c r="C11" s="34" t="s">
        <v>255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Customer Datagrain</vt:lpstr>
      <vt:lpstr>Application Datagrain</vt:lpstr>
      <vt:lpstr>Loan Datagrain</vt:lpstr>
      <vt:lpstr>Installment Datagrain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2026-09-13T08:11:04Z</dcterms:modified>
</cp:coreProperties>
</file>