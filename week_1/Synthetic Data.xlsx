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4" activeTab="8"/>
  </bookViews>
  <sheets>
    <sheet name=" Dict 1" sheetId="3" r:id="rId1"/>
    <sheet name="Dict 2" sheetId="6" r:id="rId2"/>
    <sheet name="Dict 3" sheetId="7" r:id="rId3"/>
    <sheet name="Dict 4" sheetId="8" r:id="rId4"/>
    <sheet name="Dict 5" sheetId="9" r:id="rId5"/>
    <sheet name="Dict 6" sheetId="10" r:id="rId6"/>
    <sheet name="Customer" sheetId="4" r:id="rId7"/>
    <sheet name="Application" sheetId="5" r:id="rId8"/>
    <sheet name="Loan" sheetId="2" r:id="rId9"/>
    <sheet name="Installment" sheetId="12" r:id="rId1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2" l="1"/>
  <c r="D16" i="12"/>
  <c r="D15" i="12"/>
  <c r="D14" i="12"/>
  <c r="D13" i="12"/>
  <c r="D12" i="12"/>
  <c r="D11" i="12"/>
  <c r="D9" i="12"/>
  <c r="D10" i="12" s="1"/>
  <c r="D8" i="12"/>
  <c r="D7" i="12"/>
  <c r="D6" i="12"/>
  <c r="D5" i="12"/>
  <c r="D4" i="12"/>
  <c r="D3" i="12"/>
  <c r="D2" i="12"/>
  <c r="D33" i="2"/>
  <c r="J33" i="2"/>
  <c r="L9" i="2"/>
  <c r="I25" i="2"/>
  <c r="H25" i="2"/>
  <c r="K33" i="2"/>
  <c r="I33" i="2"/>
  <c r="H33" i="2"/>
  <c r="I28" i="2"/>
  <c r="H28" i="2"/>
  <c r="D32" i="2"/>
  <c r="D31" i="2"/>
  <c r="D30" i="2"/>
  <c r="F3" i="2" l="1"/>
  <c r="F4" i="2"/>
  <c r="F5" i="2"/>
  <c r="K5" i="2" s="1"/>
  <c r="F6" i="2"/>
  <c r="K6" i="2" s="1"/>
  <c r="F7" i="2"/>
  <c r="K7" i="2" s="1"/>
  <c r="F8" i="2"/>
  <c r="K8" i="2" s="1"/>
  <c r="F9" i="2"/>
  <c r="K9" i="2" s="1"/>
  <c r="F10" i="2"/>
  <c r="K10" i="2" s="1"/>
  <c r="F11" i="2"/>
  <c r="K11" i="2" s="1"/>
  <c r="F12" i="2"/>
  <c r="K12" i="2" s="1"/>
  <c r="F13" i="2"/>
  <c r="K13" i="2" s="1"/>
  <c r="F14" i="2"/>
  <c r="K14" i="2" s="1"/>
  <c r="F15" i="2"/>
  <c r="K15" i="2" s="1"/>
  <c r="F16" i="2"/>
  <c r="K16" i="2" s="1"/>
  <c r="F17" i="2"/>
  <c r="K17" i="2" s="1"/>
  <c r="F18" i="2"/>
  <c r="K18" i="2" s="1"/>
  <c r="F19" i="2"/>
  <c r="K19" i="2" s="1"/>
  <c r="F20" i="2"/>
  <c r="K20" i="2" s="1"/>
  <c r="F21" i="2"/>
  <c r="K21" i="2" s="1"/>
  <c r="F2" i="2"/>
  <c r="K4" i="2" s="1"/>
  <c r="K3" i="2"/>
  <c r="D34" i="2" l="1"/>
  <c r="D36" i="2"/>
  <c r="D35" i="2"/>
  <c r="D39" i="2"/>
  <c r="D37" i="2"/>
  <c r="D38" i="2"/>
  <c r="K2" i="2"/>
  <c r="D25" i="2" s="1"/>
  <c r="D29" i="2"/>
  <c r="D28" i="2"/>
  <c r="D26" i="2" l="1"/>
  <c r="D27" i="2"/>
</calcChain>
</file>

<file path=xl/sharedStrings.xml><?xml version="1.0" encoding="utf-8"?>
<sst xmlns="http://schemas.openxmlformats.org/spreadsheetml/2006/main" count="621" uniqueCount="240">
  <si>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</si>
  <si>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</si>
  <si>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</si>
  <si>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</si>
  <si>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</si>
  <si>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</si>
  <si>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</si>
  <si>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</si>
  <si>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</si>
  <si>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</si>
  <si>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</si>
  <si>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</si>
  <si>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</si>
  <si>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</si>
  <si>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</si>
  <si>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</si>
  <si>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</si>
  <si>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</si>
  <si>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</si>
  <si>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</si>
  <si>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</si>
  <si>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</si>
  <si>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</si>
  <si>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</si>
  <si>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</si>
  <si>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</si>
  <si>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</si>
  <si>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</si>
  <si>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</si>
  <si>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</si>
  <si>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</si>
  <si>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</si>
  <si>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</si>
  <si>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</si>
  <si>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</si>
  <si>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</si>
  <si>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</si>
  <si>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VARCHAR(10)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</si>
  <si>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</si>
  <si>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</si>
  <si>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</si>
  <si>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</si>
  <si>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</si>
  <si>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</si>
  <si>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</si>
  <si>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</si>
  <si>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</si>
  <si>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</si>
  <si>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</si>
  <si>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</si>
  <si>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</si>
  <si>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</si>
  <si>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</si>
  <si>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</si>
  <si>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</si>
  <si>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</si>
  <si>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</si>
  <si>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</si>
  <si>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</si>
  <si>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</si>
  <si>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</si>
  <si>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</si>
  <si>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</si>
  <si>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</si>
  <si>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</si>
  <si>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</si>
  <si>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</si>
  <si>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</si>
  <si>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</si>
  <si>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</si>
  <si>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</si>
  <si>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</si>
  <si>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</si>
  <si>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</si>
  <si>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</si>
  <si>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</si>
  <si>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</si>
  <si>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</si>
  <si>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</si>
  <si>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</si>
  <si>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</si>
  <si>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</si>
  <si>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</si>
  <si>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</si>
  <si>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</si>
  <si>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Referral</t>
  </si>
  <si>
    <t>Business Owner</t>
  </si>
  <si>
    <t>Facebook</t>
  </si>
  <si>
    <t>Agent</t>
  </si>
  <si>
    <t>Instagram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</si>
  <si>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</si>
  <si>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</si>
  <si>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</si>
  <si>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</si>
  <si>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</si>
  <si>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</si>
  <si>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</si>
  <si>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</si>
  <si>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</si>
  <si>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</si>
  <si>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</si>
  <si>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</si>
  <si>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</si>
  <si>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</si>
  <si>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</si>
  <si>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</si>
  <si>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Declined</t>
  </si>
  <si>
    <t>Low Bureau Score</t>
  </si>
  <si>
    <t>A005</t>
  </si>
  <si>
    <t>High Debt-to-Income</t>
  </si>
  <si>
    <t>A011</t>
  </si>
  <si>
    <t>A012</t>
  </si>
  <si>
    <t>A013</t>
  </si>
  <si>
    <t>Poor Credit History</t>
  </si>
  <si>
    <t>A014</t>
  </si>
  <si>
    <t>A015</t>
  </si>
  <si>
    <t>High Debt Burden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</si>
  <si>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</si>
  <si>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</si>
  <si>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</si>
  <si>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</si>
  <si>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</si>
  <si>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</si>
  <si>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</si>
  <si>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</si>
  <si>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</si>
  <si>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</si>
  <si>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</si>
  <si>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</si>
  <si>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</si>
  <si>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</si>
  <si>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</si>
  <si>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</si>
  <si>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</si>
  <si>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</si>
  <si>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</si>
  <si>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</si>
  <si>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</si>
  <si>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</si>
  <si>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</si>
  <si>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</si>
  <si>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</si>
  <si>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</si>
  <si>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</si>
  <si>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</si>
  <si>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</si>
  <si>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</si>
  <si>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</si>
  <si>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</si>
  <si>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</si>
  <si>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</si>
  <si>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</si>
  <si>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</si>
  <si>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</si>
  <si>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</si>
  <si>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</si>
  <si>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</si>
  <si>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</si>
  <si>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payment_id</t>
  </si>
  <si>
    <t>Unique payment identifier</t>
  </si>
  <si>
    <t>Payment</t>
  </si>
  <si>
    <t>P001</t>
  </si>
  <si>
    <t>Loan associated with the payment</t>
  </si>
  <si>
    <t>payment_date</t>
  </si>
  <si>
    <t>Date payment was received</t>
  </si>
  <si>
    <t>amount_paid</t>
  </si>
  <si>
    <t>Amount paid by the customer (₦)</t>
  </si>
  <si>
    <t>payment_channel</t>
  </si>
  <si>
    <t>Method used to make payment</t>
  </si>
  <si>
    <t>Bank Transfer</t>
  </si>
  <si>
    <t>reporting_date</t>
  </si>
  <si>
    <t>Month-end reporting date</t>
  </si>
  <si>
    <t>Loan-Month</t>
  </si>
  <si>
    <t>Loan being reported</t>
  </si>
  <si>
    <t>outstanding_principal</t>
  </si>
  <si>
    <t>Remaining unpaid principal (₦)</t>
  </si>
  <si>
    <t>accrued_interest</t>
  </si>
  <si>
    <t>Interest accrued but not yet paid (₦)</t>
  </si>
  <si>
    <t>days_past_due</t>
  </si>
  <si>
    <t>Number of days payment is overdue</t>
  </si>
  <si>
    <t>delinquency_bucket</t>
  </si>
  <si>
    <t>Delinquency category based on days past due</t>
  </si>
  <si>
    <t>1–30 DPD</t>
  </si>
  <si>
    <t>stage</t>
  </si>
  <si>
    <t>IFRS 9 impairment stage</t>
  </si>
  <si>
    <t>Stage 2</t>
  </si>
  <si>
    <t>writeoff_flag</t>
  </si>
  <si>
    <t>Indicates whether the loan has been written off (1 = Yes, 0 = No)</t>
  </si>
  <si>
    <t>]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</si>
  <si>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</si>
  <si>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</si>
  <si>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</si>
  <si>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</si>
  <si>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</si>
  <si>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</si>
  <si>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</si>
  <si>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</si>
  <si>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</si>
  <si>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</si>
  <si>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</si>
  <si>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</si>
  <si>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</si>
  <si>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</si>
  <si>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</si>
  <si>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</si>
  <si>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</si>
  <si>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</si>
  <si>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</si>
  <si>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</si>
  <si>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</si>
  <si>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</si>
  <si>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</si>
  <si>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</si>
  <si>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</si>
  <si>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</si>
  <si>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</si>
  <si>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</si>
  <si>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</si>
  <si>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</si>
  <si>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</si>
  <si>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</si>
  <si>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</si>
  <si>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</si>
  <si>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repayment_status</t>
  </si>
  <si>
    <t>on-time</t>
  </si>
  <si>
    <t>late</t>
  </si>
  <si>
    <t>partial</t>
  </si>
  <si>
    <t>missed</t>
  </si>
  <si>
    <t>cured</t>
  </si>
  <si>
    <t>prepaid</t>
  </si>
  <si>
    <t>processing_fees</t>
  </si>
  <si>
    <t>Oldest Unpaid Due Date</t>
  </si>
  <si>
    <t>DPD</t>
  </si>
  <si>
    <t>Bucket</t>
  </si>
  <si>
    <t>arrears</t>
  </si>
  <si>
    <t>loan</t>
  </si>
  <si>
    <t>cumulative_due</t>
  </si>
  <si>
    <t>cumulative_paid</t>
  </si>
  <si>
    <t>Installments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</si>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</sst>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6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0" fontId="1" fillId="0" borderId="0" xfId="0" applyFont="1" applyAlignment="1"/>
    <xf numFmtId="0" fontId="0" fillId="0" borderId="0" xfId="0" quotePrefix="1" applyAlignment="1"/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/>
    <xf numFmtId="0" fontId="0" fillId="3" borderId="0" xfId="0" applyFill="1" applyAlignment="1"/>
    <xf numFmtId="166" fontId="1" fillId="0" borderId="0" xfId="2" applyNumberFormat="1" applyFont="1" applyAlignment="1">
      <alignment horizontal="center" vertical="center" wrapText="1"/>
    </xf>
    <xf numFmtId="166" fontId="0" fillId="0" borderId="0" xfId="2" applyNumberFormat="1" applyFont="1" applyAlignment="1">
      <alignment vertical="center" wrapText="1"/>
    </xf>
    <xf numFmtId="166" fontId="0" fillId="0" borderId="0" xfId="2" applyNumberFormat="1" applyFont="1" applyAlignment="1">
      <alignment wrapText="1"/>
    </xf>
    <xf numFmtId="166" fontId="0" fillId="0" borderId="0" xfId="2" applyNumberFormat="1" applyFont="1" applyAlignment="1">
      <alignment vertical="center"/>
    </xf>
    <xf numFmtId="166" fontId="1" fillId="0" borderId="0" xfId="2" applyNumberFormat="1" applyFont="1" applyAlignment="1">
      <alignment horizontal="center" vertical="center"/>
    </xf>
    <xf numFmtId="166" fontId="0" fillId="0" borderId="0" xfId="2" applyNumberFormat="1" applyFont="1" applyAlignment="1"/>
    <xf numFmtId="0" fontId="0" fillId="5" borderId="0" xfId="0" applyFill="1" applyAlignment="1"/>
    <xf numFmtId="0" fontId="0" fillId="6" borderId="0" xfId="0" applyFill="1" applyAlignment="1">
      <alignment vertical="center" wrapText="1"/>
    </xf>
    <xf numFmtId="14" fontId="0" fillId="6" borderId="0" xfId="0" applyNumberFormat="1" applyFill="1" applyAlignment="1">
      <alignment vertical="center" wrapText="1"/>
    </xf>
    <xf numFmtId="0" fontId="0" fillId="6" borderId="0" xfId="0" applyFill="1" applyAlignment="1">
      <alignment horizontal="right" vertical="center" wrapText="1"/>
    </xf>
    <xf numFmtId="0" fontId="0" fillId="6" borderId="0" xfId="0" applyFill="1" applyAlignme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C11" sqref="C11"/>
    </sheetView>
  </sheetViews>
  <sheetFormatPr defaultRowHeight="14.5" x14ac:dyDescent="0.35"/>
  <cols>
    <col min="1" max="1" width="18.81640625" style="6" bestFit="1" customWidth="1"/>
    <col min="2" max="2" width="24.6328125" style="6" bestFit="1" customWidth="1"/>
    <col min="3" max="3" width="9.26953125" style="6" bestFit="1" customWidth="1"/>
    <col min="4" max="4" width="8.90625" style="6" bestFit="1" customWidth="1"/>
    <col min="5" max="5" width="10.453125" style="6" bestFit="1" customWidth="1"/>
    <col min="6" max="6" width="9.08984375" style="6" bestFit="1" customWidth="1"/>
    <col min="7" max="16384" width="8.7265625" style="6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</row>
    <row r="2" spans="1:6" x14ac:dyDescent="0.35">
      <c r="A2" s="7" t="s">
        <v>6</v>
      </c>
      <c r="B2" s="7" t="s">
        <v>36</v>
      </c>
      <c r="C2" s="7" t="s">
        <v>190</v>
      </c>
      <c r="D2" s="7" t="s">
        <v>38</v>
      </c>
      <c r="E2" s="7" t="s">
        <v>7</v>
      </c>
      <c r="F2" s="7" t="s">
        <v>39</v>
      </c>
    </row>
    <row r="3" spans="1:6" x14ac:dyDescent="0.35">
      <c r="A3" s="7" t="s">
        <v>0</v>
      </c>
      <c r="B3" s="7" t="s">
        <v>40</v>
      </c>
      <c r="C3" s="7" t="s">
        <v>41</v>
      </c>
      <c r="D3" s="7" t="s">
        <v>38</v>
      </c>
      <c r="E3" s="8">
        <v>45672</v>
      </c>
      <c r="F3" s="7" t="s">
        <v>39</v>
      </c>
    </row>
    <row r="4" spans="1:6" x14ac:dyDescent="0.35">
      <c r="A4" s="7" t="s">
        <v>1</v>
      </c>
      <c r="B4" s="7" t="s">
        <v>42</v>
      </c>
      <c r="C4" s="7" t="s">
        <v>190</v>
      </c>
      <c r="D4" s="7" t="s">
        <v>38</v>
      </c>
      <c r="E4" s="7" t="s">
        <v>16</v>
      </c>
      <c r="F4" s="7" t="s">
        <v>39</v>
      </c>
    </row>
    <row r="5" spans="1:6" x14ac:dyDescent="0.35">
      <c r="A5" s="7" t="s">
        <v>2</v>
      </c>
      <c r="B5" s="7" t="s">
        <v>43</v>
      </c>
      <c r="C5" s="7" t="s">
        <v>44</v>
      </c>
      <c r="D5" s="7" t="s">
        <v>38</v>
      </c>
      <c r="E5" s="7">
        <v>34</v>
      </c>
      <c r="F5" s="7" t="s">
        <v>45</v>
      </c>
    </row>
    <row r="6" spans="1:6" x14ac:dyDescent="0.35">
      <c r="A6" s="7" t="s">
        <v>3</v>
      </c>
      <c r="B6" s="7" t="s">
        <v>46</v>
      </c>
      <c r="C6" s="7" t="s">
        <v>190</v>
      </c>
      <c r="D6" s="7" t="s">
        <v>38</v>
      </c>
      <c r="E6" s="7" t="s">
        <v>23</v>
      </c>
      <c r="F6" s="7" t="s">
        <v>45</v>
      </c>
    </row>
    <row r="7" spans="1:6" x14ac:dyDescent="0.35">
      <c r="A7" s="7" t="s">
        <v>4</v>
      </c>
      <c r="B7" s="7" t="s">
        <v>48</v>
      </c>
      <c r="C7" s="7" t="s">
        <v>189</v>
      </c>
      <c r="D7" s="7" t="s">
        <v>38</v>
      </c>
      <c r="E7" s="7">
        <v>350000</v>
      </c>
      <c r="F7" s="7" t="s">
        <v>45</v>
      </c>
    </row>
    <row r="8" spans="1:6" x14ac:dyDescent="0.35">
      <c r="A8" s="7" t="s">
        <v>5</v>
      </c>
      <c r="B8" s="7" t="s">
        <v>50</v>
      </c>
      <c r="C8" s="7" t="s">
        <v>190</v>
      </c>
      <c r="D8" s="7" t="s">
        <v>38</v>
      </c>
      <c r="E8" s="7" t="s">
        <v>25</v>
      </c>
      <c r="F8" s="7" t="s">
        <v>45</v>
      </c>
    </row>
    <row r="9" spans="1:6" x14ac:dyDescent="0.35">
      <c r="A9" s="7" t="s">
        <v>51</v>
      </c>
      <c r="B9" s="7" t="s">
        <v>52</v>
      </c>
      <c r="C9" s="7" t="s">
        <v>44</v>
      </c>
      <c r="D9" s="7" t="s">
        <v>38</v>
      </c>
      <c r="E9" s="7">
        <v>18</v>
      </c>
      <c r="F9" s="7" t="s">
        <v>39</v>
      </c>
    </row>
    <row r="10" spans="1:6" x14ac:dyDescent="0.35">
      <c r="A10" s="7" t="s">
        <v>53</v>
      </c>
      <c r="B10" s="7" t="s">
        <v>54</v>
      </c>
      <c r="C10" s="7" t="s">
        <v>190</v>
      </c>
      <c r="D10" s="7" t="s">
        <v>38</v>
      </c>
      <c r="E10" s="7" t="s">
        <v>55</v>
      </c>
      <c r="F10" s="7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L4" sqref="L4"/>
    </sheetView>
  </sheetViews>
  <sheetFormatPr defaultRowHeight="14.5" x14ac:dyDescent="0.35"/>
  <cols>
    <col min="1" max="1" width="20.453125" style="9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57</v>
      </c>
      <c r="B2" s="7" t="s">
        <v>119</v>
      </c>
      <c r="C2" s="7" t="s">
        <v>190</v>
      </c>
      <c r="D2" s="7" t="s">
        <v>120</v>
      </c>
      <c r="E2" s="7" t="s">
        <v>67</v>
      </c>
      <c r="F2" s="7" t="s">
        <v>39</v>
      </c>
    </row>
    <row r="3" spans="1:6" x14ac:dyDescent="0.35">
      <c r="A3" s="7" t="s">
        <v>6</v>
      </c>
      <c r="B3" s="7" t="s">
        <v>121</v>
      </c>
      <c r="C3" s="7" t="s">
        <v>190</v>
      </c>
      <c r="D3" s="7" t="s">
        <v>120</v>
      </c>
      <c r="E3" s="7" t="s">
        <v>7</v>
      </c>
      <c r="F3" s="7" t="s">
        <v>39</v>
      </c>
    </row>
    <row r="4" spans="1:6" x14ac:dyDescent="0.35">
      <c r="A4" s="7" t="s">
        <v>94</v>
      </c>
      <c r="B4" s="7" t="s">
        <v>122</v>
      </c>
      <c r="C4" s="7" t="s">
        <v>41</v>
      </c>
      <c r="D4" s="7" t="s">
        <v>120</v>
      </c>
      <c r="E4" s="8">
        <v>45839</v>
      </c>
      <c r="F4" s="7" t="s">
        <v>39</v>
      </c>
    </row>
    <row r="5" spans="1:6" x14ac:dyDescent="0.35">
      <c r="A5" s="7" t="s">
        <v>28</v>
      </c>
      <c r="B5" s="7" t="s">
        <v>123</v>
      </c>
      <c r="C5" s="7" t="s">
        <v>190</v>
      </c>
      <c r="D5" s="7" t="s">
        <v>120</v>
      </c>
      <c r="E5" s="7" t="s">
        <v>101</v>
      </c>
      <c r="F5" s="7" t="s">
        <v>39</v>
      </c>
    </row>
    <row r="6" spans="1:6" x14ac:dyDescent="0.35">
      <c r="A6" s="7" t="s">
        <v>29</v>
      </c>
      <c r="B6" s="7" t="s">
        <v>124</v>
      </c>
      <c r="C6" s="7" t="s">
        <v>49</v>
      </c>
      <c r="D6" s="7" t="s">
        <v>120</v>
      </c>
      <c r="E6" s="7">
        <v>300000</v>
      </c>
      <c r="F6" s="7" t="s">
        <v>45</v>
      </c>
    </row>
    <row r="7" spans="1:6" x14ac:dyDescent="0.35">
      <c r="A7" s="7" t="s">
        <v>62</v>
      </c>
      <c r="B7" s="7" t="s">
        <v>125</v>
      </c>
      <c r="C7" s="7" t="s">
        <v>44</v>
      </c>
      <c r="D7" s="7" t="s">
        <v>120</v>
      </c>
      <c r="E7" s="7">
        <v>12</v>
      </c>
      <c r="F7" s="7" t="s">
        <v>39</v>
      </c>
    </row>
    <row r="8" spans="1:6" x14ac:dyDescent="0.35">
      <c r="A8" s="7" t="s">
        <v>95</v>
      </c>
      <c r="B8" s="7" t="s">
        <v>126</v>
      </c>
      <c r="C8" s="7" t="s">
        <v>44</v>
      </c>
      <c r="D8" s="7" t="s">
        <v>120</v>
      </c>
      <c r="E8" s="7">
        <v>720</v>
      </c>
      <c r="F8" s="7" t="s">
        <v>45</v>
      </c>
    </row>
    <row r="9" spans="1:6" x14ac:dyDescent="0.35">
      <c r="A9" s="7" t="s">
        <v>96</v>
      </c>
      <c r="B9" s="7" t="s">
        <v>127</v>
      </c>
      <c r="C9" s="7" t="s">
        <v>189</v>
      </c>
      <c r="D9" s="7" t="s">
        <v>120</v>
      </c>
      <c r="E9" s="7">
        <v>20000</v>
      </c>
      <c r="F9" s="7" t="s">
        <v>45</v>
      </c>
    </row>
    <row r="10" spans="1:6" x14ac:dyDescent="0.35">
      <c r="A10" s="7" t="s">
        <v>97</v>
      </c>
      <c r="B10" s="7" t="s">
        <v>128</v>
      </c>
      <c r="C10" s="7" t="s">
        <v>189</v>
      </c>
      <c r="D10" s="7" t="s">
        <v>120</v>
      </c>
      <c r="E10" s="7">
        <v>29000</v>
      </c>
      <c r="F10" s="7" t="s">
        <v>39</v>
      </c>
    </row>
    <row r="11" spans="1:6" x14ac:dyDescent="0.35">
      <c r="A11" s="7" t="s">
        <v>98</v>
      </c>
      <c r="B11" s="7" t="s">
        <v>129</v>
      </c>
      <c r="C11" s="7" t="s">
        <v>190</v>
      </c>
      <c r="D11" s="7" t="s">
        <v>120</v>
      </c>
      <c r="E11" s="7" t="s">
        <v>102</v>
      </c>
      <c r="F11" s="7" t="s">
        <v>39</v>
      </c>
    </row>
    <row r="12" spans="1:6" x14ac:dyDescent="0.35">
      <c r="A12" s="7" t="s">
        <v>99</v>
      </c>
      <c r="B12" s="7" t="s">
        <v>131</v>
      </c>
      <c r="C12" s="7" t="s">
        <v>190</v>
      </c>
      <c r="D12" s="7" t="s">
        <v>120</v>
      </c>
      <c r="E12" s="7" t="s">
        <v>107</v>
      </c>
      <c r="F12" s="7" t="s">
        <v>39</v>
      </c>
    </row>
    <row r="13" spans="1:6" x14ac:dyDescent="0.35">
      <c r="A13" s="7" t="s">
        <v>100</v>
      </c>
      <c r="B13" s="7" t="s">
        <v>132</v>
      </c>
      <c r="C13" s="7" t="s">
        <v>133</v>
      </c>
      <c r="D13" s="7" t="s">
        <v>120</v>
      </c>
      <c r="E13" s="7">
        <v>1</v>
      </c>
      <c r="F13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6" bestFit="1" customWidth="1"/>
    <col min="2" max="2" width="34.08984375" style="6" bestFit="1" customWidth="1"/>
    <col min="3" max="3" width="12.08984375" style="6" bestFit="1" customWidth="1"/>
    <col min="4" max="4" width="5.363281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56</v>
      </c>
      <c r="B2" s="7" t="s">
        <v>134</v>
      </c>
      <c r="C2" s="7" t="s">
        <v>190</v>
      </c>
      <c r="D2" s="7" t="s">
        <v>135</v>
      </c>
      <c r="E2" s="7" t="s">
        <v>66</v>
      </c>
      <c r="F2" s="7" t="s">
        <v>39</v>
      </c>
    </row>
    <row r="3" spans="1:6" x14ac:dyDescent="0.35">
      <c r="A3" s="7" t="s">
        <v>57</v>
      </c>
      <c r="B3" s="7" t="s">
        <v>136</v>
      </c>
      <c r="C3" s="7" t="s">
        <v>190</v>
      </c>
      <c r="D3" s="7" t="s">
        <v>135</v>
      </c>
      <c r="E3" s="7" t="s">
        <v>67</v>
      </c>
      <c r="F3" s="7" t="s">
        <v>39</v>
      </c>
    </row>
    <row r="4" spans="1:6" x14ac:dyDescent="0.35">
      <c r="A4" s="7" t="s">
        <v>6</v>
      </c>
      <c r="B4" s="7" t="s">
        <v>137</v>
      </c>
      <c r="C4" s="7" t="s">
        <v>190</v>
      </c>
      <c r="D4" s="7" t="s">
        <v>135</v>
      </c>
      <c r="E4" s="7" t="s">
        <v>7</v>
      </c>
      <c r="F4" s="7" t="s">
        <v>39</v>
      </c>
    </row>
    <row r="5" spans="1:6" x14ac:dyDescent="0.35">
      <c r="A5" s="7" t="s">
        <v>58</v>
      </c>
      <c r="B5" s="7" t="s">
        <v>138</v>
      </c>
      <c r="C5" s="7" t="s">
        <v>41</v>
      </c>
      <c r="D5" s="7" t="s">
        <v>135</v>
      </c>
      <c r="E5" s="8">
        <v>45840</v>
      </c>
      <c r="F5" s="7" t="s">
        <v>39</v>
      </c>
    </row>
    <row r="6" spans="1:6" x14ac:dyDescent="0.35">
      <c r="A6" s="7" t="s">
        <v>59</v>
      </c>
      <c r="B6" s="7" t="s">
        <v>139</v>
      </c>
      <c r="C6" s="7" t="s">
        <v>189</v>
      </c>
      <c r="D6" s="7" t="s">
        <v>135</v>
      </c>
      <c r="E6" s="7">
        <v>300000</v>
      </c>
      <c r="F6" s="7" t="s">
        <v>45</v>
      </c>
    </row>
    <row r="7" spans="1:6" x14ac:dyDescent="0.35">
      <c r="A7" s="7" t="s">
        <v>60</v>
      </c>
      <c r="B7" s="7" t="s">
        <v>140</v>
      </c>
      <c r="C7" s="7" t="s">
        <v>189</v>
      </c>
      <c r="D7" s="7" t="s">
        <v>135</v>
      </c>
      <c r="E7" s="7">
        <v>24</v>
      </c>
      <c r="F7" s="7" t="s">
        <v>39</v>
      </c>
    </row>
    <row r="8" spans="1:6" x14ac:dyDescent="0.35">
      <c r="A8" s="7" t="s">
        <v>61</v>
      </c>
      <c r="B8" s="7" t="s">
        <v>141</v>
      </c>
      <c r="C8" s="7" t="s">
        <v>189</v>
      </c>
      <c r="D8" s="7" t="s">
        <v>135</v>
      </c>
      <c r="E8" s="7">
        <v>5000</v>
      </c>
      <c r="F8" s="7" t="s">
        <v>39</v>
      </c>
    </row>
    <row r="9" spans="1:6" x14ac:dyDescent="0.35">
      <c r="A9" s="7" t="s">
        <v>62</v>
      </c>
      <c r="B9" s="7" t="s">
        <v>142</v>
      </c>
      <c r="C9" s="7" t="s">
        <v>44</v>
      </c>
      <c r="D9" s="7" t="s">
        <v>135</v>
      </c>
      <c r="E9" s="7">
        <v>12</v>
      </c>
      <c r="F9" s="7" t="s">
        <v>39</v>
      </c>
    </row>
    <row r="10" spans="1:6" x14ac:dyDescent="0.35">
      <c r="A10" s="7" t="s">
        <v>63</v>
      </c>
      <c r="B10" s="7" t="s">
        <v>143</v>
      </c>
      <c r="C10" s="7" t="s">
        <v>41</v>
      </c>
      <c r="D10" s="7" t="s">
        <v>135</v>
      </c>
      <c r="E10" s="8">
        <v>46205</v>
      </c>
      <c r="F10" s="7" t="s">
        <v>39</v>
      </c>
    </row>
    <row r="11" spans="1:6" x14ac:dyDescent="0.35">
      <c r="A11" s="7" t="s">
        <v>64</v>
      </c>
      <c r="B11" s="7" t="s">
        <v>144</v>
      </c>
      <c r="C11" s="7" t="s">
        <v>130</v>
      </c>
      <c r="D11" s="7" t="s">
        <v>135</v>
      </c>
      <c r="E11" s="7" t="s">
        <v>68</v>
      </c>
      <c r="F11" s="7" t="s">
        <v>39</v>
      </c>
    </row>
    <row r="12" spans="1:6" x14ac:dyDescent="0.35">
      <c r="A12" s="7" t="s">
        <v>65</v>
      </c>
      <c r="B12" s="7" t="s">
        <v>145</v>
      </c>
      <c r="C12" s="7" t="s">
        <v>41</v>
      </c>
      <c r="D12" s="7" t="s">
        <v>135</v>
      </c>
      <c r="E12" s="7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6" bestFit="1" customWidth="1"/>
    <col min="2" max="2" width="31.54296875" style="6" bestFit="1" customWidth="1"/>
    <col min="3" max="3" width="9.26953125" style="6" bestFit="1" customWidth="1"/>
    <col min="4" max="4" width="9.72656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56</v>
      </c>
      <c r="B2" s="7" t="s">
        <v>146</v>
      </c>
      <c r="C2" s="7" t="s">
        <v>190</v>
      </c>
      <c r="D2" s="7" t="s">
        <v>147</v>
      </c>
      <c r="E2" s="7" t="s">
        <v>66</v>
      </c>
      <c r="F2" s="7" t="s">
        <v>39</v>
      </c>
    </row>
    <row r="3" spans="1:6" x14ac:dyDescent="0.35">
      <c r="A3" s="7" t="s">
        <v>148</v>
      </c>
      <c r="B3" s="7" t="s">
        <v>149</v>
      </c>
      <c r="C3" s="7" t="s">
        <v>44</v>
      </c>
      <c r="D3" s="7" t="s">
        <v>147</v>
      </c>
      <c r="E3" s="7">
        <v>1</v>
      </c>
      <c r="F3" s="7" t="s">
        <v>39</v>
      </c>
    </row>
    <row r="4" spans="1:6" x14ac:dyDescent="0.35">
      <c r="A4" s="7" t="s">
        <v>150</v>
      </c>
      <c r="B4" s="7" t="s">
        <v>151</v>
      </c>
      <c r="C4" s="7" t="s">
        <v>41</v>
      </c>
      <c r="D4" s="7" t="s">
        <v>147</v>
      </c>
      <c r="E4" s="8">
        <v>45871</v>
      </c>
      <c r="F4" s="7" t="s">
        <v>39</v>
      </c>
    </row>
    <row r="5" spans="1:6" x14ac:dyDescent="0.35">
      <c r="A5" s="7" t="s">
        <v>152</v>
      </c>
      <c r="B5" s="7" t="s">
        <v>153</v>
      </c>
      <c r="C5" s="7" t="s">
        <v>189</v>
      </c>
      <c r="D5" s="7" t="s">
        <v>147</v>
      </c>
      <c r="E5" s="7">
        <v>25000</v>
      </c>
      <c r="F5" s="7" t="s">
        <v>39</v>
      </c>
    </row>
    <row r="6" spans="1:6" x14ac:dyDescent="0.35">
      <c r="A6" s="7" t="s">
        <v>154</v>
      </c>
      <c r="B6" s="7" t="s">
        <v>155</v>
      </c>
      <c r="C6" s="7" t="s">
        <v>189</v>
      </c>
      <c r="D6" s="7" t="s">
        <v>147</v>
      </c>
      <c r="E6" s="7">
        <v>6000</v>
      </c>
      <c r="F6" s="7" t="s">
        <v>39</v>
      </c>
    </row>
    <row r="7" spans="1:6" x14ac:dyDescent="0.35">
      <c r="A7" s="7" t="s">
        <v>156</v>
      </c>
      <c r="B7" s="7" t="s">
        <v>157</v>
      </c>
      <c r="C7" s="7" t="s">
        <v>189</v>
      </c>
      <c r="D7" s="7" t="s">
        <v>147</v>
      </c>
      <c r="E7" s="7">
        <v>500</v>
      </c>
      <c r="F7" s="7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F4" sqref="F4"/>
    </sheetView>
  </sheetViews>
  <sheetFormatPr defaultRowHeight="14.5" x14ac:dyDescent="0.35"/>
  <cols>
    <col min="1" max="1" width="15.81640625" style="6" bestFit="1" customWidth="1"/>
    <col min="2" max="2" width="29.54296875" style="6" bestFit="1" customWidth="1"/>
    <col min="3" max="3" width="9.26953125" style="6" bestFit="1" customWidth="1"/>
    <col min="4" max="4" width="8.0898437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158</v>
      </c>
      <c r="B2" s="7" t="s">
        <v>159</v>
      </c>
      <c r="C2" s="7" t="s">
        <v>190</v>
      </c>
      <c r="D2" s="7" t="s">
        <v>160</v>
      </c>
      <c r="E2" s="7" t="s">
        <v>161</v>
      </c>
      <c r="F2" s="7" t="s">
        <v>39</v>
      </c>
    </row>
    <row r="3" spans="1:6" x14ac:dyDescent="0.35">
      <c r="A3" s="7" t="s">
        <v>56</v>
      </c>
      <c r="B3" s="7" t="s">
        <v>162</v>
      </c>
      <c r="C3" s="7" t="s">
        <v>190</v>
      </c>
      <c r="D3" s="7" t="s">
        <v>160</v>
      </c>
      <c r="E3" s="7" t="s">
        <v>66</v>
      </c>
      <c r="F3" s="7" t="s">
        <v>39</v>
      </c>
    </row>
    <row r="4" spans="1:6" x14ac:dyDescent="0.35">
      <c r="A4" s="7" t="s">
        <v>163</v>
      </c>
      <c r="B4" s="7" t="s">
        <v>164</v>
      </c>
      <c r="C4" s="7" t="s">
        <v>41</v>
      </c>
      <c r="D4" s="7" t="s">
        <v>160</v>
      </c>
      <c r="E4" s="8">
        <v>45870</v>
      </c>
      <c r="F4" s="7" t="s">
        <v>39</v>
      </c>
    </row>
    <row r="5" spans="1:6" x14ac:dyDescent="0.35">
      <c r="A5" s="7" t="s">
        <v>165</v>
      </c>
      <c r="B5" s="7" t="s">
        <v>166</v>
      </c>
      <c r="C5" s="7" t="s">
        <v>189</v>
      </c>
      <c r="D5" s="7" t="s">
        <v>160</v>
      </c>
      <c r="E5" s="7">
        <v>31500</v>
      </c>
      <c r="F5" s="7" t="s">
        <v>45</v>
      </c>
    </row>
    <row r="6" spans="1:6" x14ac:dyDescent="0.35">
      <c r="A6" s="7" t="s">
        <v>167</v>
      </c>
      <c r="B6" s="7" t="s">
        <v>168</v>
      </c>
      <c r="C6" s="7" t="s">
        <v>190</v>
      </c>
      <c r="D6" s="7" t="s">
        <v>160</v>
      </c>
      <c r="E6" s="7" t="s">
        <v>169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6" sqref="F6"/>
    </sheetView>
  </sheetViews>
  <sheetFormatPr defaultRowHeight="14.5" x14ac:dyDescent="0.35"/>
  <cols>
    <col min="1" max="1" width="19.08984375" style="6" bestFit="1" customWidth="1"/>
    <col min="2" max="2" width="54.90625" style="6" bestFit="1" customWidth="1"/>
    <col min="3" max="3" width="13.26953125" style="6" bestFit="1" customWidth="1"/>
    <col min="4" max="4" width="13.1796875" style="6" bestFit="1" customWidth="1"/>
    <col min="5" max="5" width="9.453125" style="6" bestFit="1" customWidth="1"/>
  </cols>
  <sheetData>
    <row r="1" spans="1:6" x14ac:dyDescent="0.35">
      <c r="A1" s="5" t="s">
        <v>31</v>
      </c>
      <c r="B1" s="5" t="s">
        <v>32</v>
      </c>
      <c r="C1" s="5" t="s">
        <v>33</v>
      </c>
      <c r="D1" s="5" t="s">
        <v>118</v>
      </c>
      <c r="E1" s="5" t="s">
        <v>35</v>
      </c>
    </row>
    <row r="2" spans="1:6" x14ac:dyDescent="0.35">
      <c r="A2" s="7" t="s">
        <v>170</v>
      </c>
      <c r="B2" s="7" t="s">
        <v>171</v>
      </c>
      <c r="C2" s="7" t="s">
        <v>41</v>
      </c>
      <c r="D2" s="7" t="s">
        <v>172</v>
      </c>
      <c r="E2" s="8">
        <v>45900</v>
      </c>
      <c r="F2" s="2" t="s">
        <v>39</v>
      </c>
    </row>
    <row r="3" spans="1:6" x14ac:dyDescent="0.35">
      <c r="A3" s="7" t="s">
        <v>56</v>
      </c>
      <c r="B3" s="7" t="s">
        <v>173</v>
      </c>
      <c r="C3" s="7" t="s">
        <v>37</v>
      </c>
      <c r="D3" s="7" t="s">
        <v>172</v>
      </c>
      <c r="E3" s="7" t="s">
        <v>66</v>
      </c>
      <c r="F3" s="2" t="s">
        <v>39</v>
      </c>
    </row>
    <row r="4" spans="1:6" x14ac:dyDescent="0.35">
      <c r="A4" s="7" t="s">
        <v>174</v>
      </c>
      <c r="B4" s="7" t="s">
        <v>175</v>
      </c>
      <c r="C4" s="7" t="s">
        <v>49</v>
      </c>
      <c r="D4" s="7" t="s">
        <v>172</v>
      </c>
      <c r="E4" s="7">
        <v>275000</v>
      </c>
      <c r="F4" s="2" t="s">
        <v>45</v>
      </c>
    </row>
    <row r="5" spans="1:6" x14ac:dyDescent="0.35">
      <c r="A5" s="7" t="s">
        <v>176</v>
      </c>
      <c r="B5" s="7" t="s">
        <v>177</v>
      </c>
      <c r="C5" s="7" t="s">
        <v>49</v>
      </c>
      <c r="D5" s="7" t="s">
        <v>172</v>
      </c>
      <c r="E5" s="7">
        <v>6000</v>
      </c>
      <c r="F5" s="2" t="s">
        <v>39</v>
      </c>
    </row>
    <row r="6" spans="1:6" x14ac:dyDescent="0.35">
      <c r="A6" s="7" t="s">
        <v>178</v>
      </c>
      <c r="B6" s="7" t="s">
        <v>179</v>
      </c>
      <c r="C6" s="7" t="s">
        <v>44</v>
      </c>
      <c r="D6" s="7" t="s">
        <v>172</v>
      </c>
      <c r="E6" s="7">
        <v>15</v>
      </c>
      <c r="F6" s="2" t="s">
        <v>39</v>
      </c>
    </row>
    <row r="7" spans="1:6" x14ac:dyDescent="0.35">
      <c r="A7" s="7" t="s">
        <v>180</v>
      </c>
      <c r="B7" s="7" t="s">
        <v>181</v>
      </c>
      <c r="C7" s="7" t="s">
        <v>130</v>
      </c>
      <c r="D7" s="7" t="s">
        <v>172</v>
      </c>
      <c r="E7" s="7" t="s">
        <v>182</v>
      </c>
      <c r="F7" s="2" t="s">
        <v>39</v>
      </c>
    </row>
    <row r="8" spans="1:6" x14ac:dyDescent="0.35">
      <c r="A8" s="7" t="s">
        <v>183</v>
      </c>
      <c r="B8" s="7" t="s">
        <v>184</v>
      </c>
      <c r="C8" s="7" t="s">
        <v>130</v>
      </c>
      <c r="D8" s="7" t="s">
        <v>172</v>
      </c>
      <c r="E8" s="7" t="s">
        <v>185</v>
      </c>
      <c r="F8" s="2" t="s">
        <v>39</v>
      </c>
    </row>
    <row r="9" spans="1:6" x14ac:dyDescent="0.35">
      <c r="A9" s="7" t="s">
        <v>186</v>
      </c>
      <c r="B9" s="7" t="s">
        <v>187</v>
      </c>
      <c r="C9" s="7" t="s">
        <v>133</v>
      </c>
      <c r="D9" s="7" t="s">
        <v>172</v>
      </c>
      <c r="E9" s="7">
        <v>0</v>
      </c>
      <c r="F9" s="2" t="s">
        <v>39</v>
      </c>
    </row>
    <row r="12" spans="1:6" ht="23.5" x14ac:dyDescent="0.35">
      <c r="A12" s="4"/>
      <c r="B12" s="7" t="s">
        <v>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G8" sqref="G8"/>
    </sheetView>
  </sheetViews>
  <sheetFormatPr defaultRowHeight="14.5" x14ac:dyDescent="0.35"/>
  <cols>
    <col min="1" max="1" width="11.26953125" style="6" bestFit="1" customWidth="1"/>
    <col min="2" max="2" width="11.08984375" style="6" bestFit="1" customWidth="1"/>
    <col min="5" max="5" width="16.26953125" style="6" bestFit="1" customWidth="1"/>
    <col min="6" max="6" width="15" style="6" bestFit="1" customWidth="1"/>
    <col min="7" max="7" width="17.7265625" style="6" bestFit="1" customWidth="1"/>
    <col min="8" max="8" width="19" style="6" bestFit="1" customWidth="1"/>
    <col min="9" max="9" width="17.6328125" style="6" bestFit="1" customWidth="1"/>
  </cols>
  <sheetData>
    <row r="1" spans="1:9" x14ac:dyDescent="0.35">
      <c r="A1" s="5" t="s">
        <v>6</v>
      </c>
      <c r="B1" s="5" t="s">
        <v>0</v>
      </c>
      <c r="C1" s="1" t="s">
        <v>1</v>
      </c>
      <c r="D1" s="1" t="s">
        <v>2</v>
      </c>
      <c r="E1" s="5" t="s">
        <v>3</v>
      </c>
      <c r="F1" s="5" t="s">
        <v>4</v>
      </c>
      <c r="G1" s="5" t="s">
        <v>5</v>
      </c>
      <c r="H1" s="5" t="s">
        <v>51</v>
      </c>
      <c r="I1" s="5" t="s">
        <v>53</v>
      </c>
    </row>
    <row r="2" spans="1:9" x14ac:dyDescent="0.35">
      <c r="A2" s="7" t="s">
        <v>7</v>
      </c>
      <c r="B2" s="8">
        <v>46025</v>
      </c>
      <c r="C2" s="2" t="s">
        <v>16</v>
      </c>
      <c r="D2" s="2">
        <v>32</v>
      </c>
      <c r="E2" s="7" t="s">
        <v>23</v>
      </c>
      <c r="F2" s="7">
        <v>250000</v>
      </c>
      <c r="G2" s="7" t="s">
        <v>25</v>
      </c>
      <c r="H2" s="7">
        <v>18</v>
      </c>
      <c r="I2" s="7" t="s">
        <v>55</v>
      </c>
    </row>
    <row r="3" spans="1:9" x14ac:dyDescent="0.35">
      <c r="A3" s="7" t="s">
        <v>8</v>
      </c>
      <c r="B3" s="8">
        <v>46025</v>
      </c>
      <c r="C3" s="2" t="s">
        <v>17</v>
      </c>
      <c r="D3" s="2">
        <v>27</v>
      </c>
      <c r="E3" s="7" t="s">
        <v>22</v>
      </c>
      <c r="F3" s="7">
        <v>180000</v>
      </c>
      <c r="G3" s="7" t="s">
        <v>26</v>
      </c>
      <c r="H3" s="7">
        <v>17</v>
      </c>
      <c r="I3" s="7" t="s">
        <v>85</v>
      </c>
    </row>
    <row r="4" spans="1:9" x14ac:dyDescent="0.35">
      <c r="A4" s="7" t="s">
        <v>9</v>
      </c>
      <c r="B4" s="8">
        <v>46055</v>
      </c>
      <c r="C4" s="2" t="s">
        <v>18</v>
      </c>
      <c r="D4" s="2">
        <v>41</v>
      </c>
      <c r="E4" s="7" t="s">
        <v>86</v>
      </c>
      <c r="F4" s="7">
        <v>520000</v>
      </c>
      <c r="G4" s="7" t="s">
        <v>25</v>
      </c>
      <c r="H4" s="7">
        <v>16</v>
      </c>
      <c r="I4" s="7" t="s">
        <v>87</v>
      </c>
    </row>
    <row r="5" spans="1:9" x14ac:dyDescent="0.35">
      <c r="A5" s="7" t="s">
        <v>10</v>
      </c>
      <c r="B5" s="8">
        <v>46054</v>
      </c>
      <c r="C5" s="2" t="s">
        <v>19</v>
      </c>
      <c r="D5" s="2">
        <v>36</v>
      </c>
      <c r="E5" s="7" t="s">
        <v>47</v>
      </c>
      <c r="F5" s="7">
        <v>320000</v>
      </c>
      <c r="G5" s="7" t="s">
        <v>25</v>
      </c>
      <c r="H5" s="7">
        <v>15</v>
      </c>
      <c r="I5" s="7" t="s">
        <v>88</v>
      </c>
    </row>
    <row r="6" spans="1:9" x14ac:dyDescent="0.35">
      <c r="A6" s="7" t="s">
        <v>11</v>
      </c>
      <c r="B6" s="8">
        <v>45728</v>
      </c>
      <c r="C6" s="2" t="s">
        <v>20</v>
      </c>
      <c r="D6" s="2">
        <v>29</v>
      </c>
      <c r="E6" s="7" t="s">
        <v>24</v>
      </c>
      <c r="F6" s="7">
        <v>150000</v>
      </c>
      <c r="G6" s="7" t="s">
        <v>27</v>
      </c>
      <c r="H6" s="7">
        <v>14</v>
      </c>
      <c r="I6" s="7" t="s">
        <v>55</v>
      </c>
    </row>
    <row r="7" spans="1:9" x14ac:dyDescent="0.35">
      <c r="A7" s="7" t="s">
        <v>12</v>
      </c>
      <c r="B7" s="8">
        <v>45759</v>
      </c>
      <c r="C7" s="2" t="s">
        <v>21</v>
      </c>
      <c r="D7" s="2">
        <v>38</v>
      </c>
      <c r="E7" s="7" t="s">
        <v>86</v>
      </c>
      <c r="F7" s="7">
        <v>470000</v>
      </c>
      <c r="G7" s="7" t="s">
        <v>26</v>
      </c>
      <c r="H7" s="7">
        <v>13</v>
      </c>
      <c r="I7" s="7" t="s">
        <v>89</v>
      </c>
    </row>
    <row r="8" spans="1:9" x14ac:dyDescent="0.35">
      <c r="A8" s="7" t="s">
        <v>13</v>
      </c>
      <c r="B8" s="8">
        <v>45787</v>
      </c>
      <c r="C8" s="2" t="s">
        <v>90</v>
      </c>
      <c r="D8" s="2">
        <v>24</v>
      </c>
      <c r="E8" s="7" t="s">
        <v>23</v>
      </c>
      <c r="F8" s="7">
        <v>170000</v>
      </c>
      <c r="G8" s="7" t="s">
        <v>25</v>
      </c>
      <c r="H8" s="7">
        <v>12</v>
      </c>
      <c r="I8" s="7" t="s">
        <v>85</v>
      </c>
    </row>
    <row r="9" spans="1:9" x14ac:dyDescent="0.35">
      <c r="A9" s="7" t="s">
        <v>14</v>
      </c>
      <c r="B9" s="8">
        <v>45785</v>
      </c>
      <c r="C9" s="2" t="s">
        <v>91</v>
      </c>
      <c r="D9" s="2">
        <v>45</v>
      </c>
      <c r="E9" s="7" t="s">
        <v>92</v>
      </c>
      <c r="F9" s="7">
        <v>600000</v>
      </c>
      <c r="G9" s="7" t="s">
        <v>26</v>
      </c>
      <c r="H9" s="7">
        <v>11</v>
      </c>
      <c r="I9" s="7" t="s">
        <v>88</v>
      </c>
    </row>
    <row r="10" spans="1:9" x14ac:dyDescent="0.35">
      <c r="A10" s="7" t="s">
        <v>15</v>
      </c>
      <c r="B10" s="8">
        <v>45813</v>
      </c>
      <c r="C10" s="2" t="s">
        <v>93</v>
      </c>
      <c r="D10" s="2">
        <v>30</v>
      </c>
      <c r="E10" s="7" t="s">
        <v>22</v>
      </c>
      <c r="F10" s="7">
        <v>210000</v>
      </c>
      <c r="G10" s="7" t="s">
        <v>26</v>
      </c>
      <c r="H10" s="7">
        <v>10</v>
      </c>
      <c r="I10" s="7" t="s">
        <v>55</v>
      </c>
    </row>
    <row r="11" spans="1:9" x14ac:dyDescent="0.35">
      <c r="A11" s="7" t="s">
        <v>84</v>
      </c>
      <c r="B11" s="6" t="s">
        <v>191</v>
      </c>
      <c r="C11" s="2" t="s">
        <v>117</v>
      </c>
      <c r="D11" s="2">
        <v>34</v>
      </c>
      <c r="E11" s="7" t="s">
        <v>23</v>
      </c>
      <c r="F11" s="7">
        <v>390000</v>
      </c>
      <c r="G11" s="7" t="s">
        <v>25</v>
      </c>
      <c r="H11" s="7">
        <v>9</v>
      </c>
      <c r="I11" s="7" t="s">
        <v>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selection activeCell="H17" sqref="H17"/>
    </sheetView>
  </sheetViews>
  <sheetFormatPr defaultRowHeight="14.5" x14ac:dyDescent="0.35"/>
  <cols>
    <col min="1" max="1" width="12.6328125" bestFit="1" customWidth="1"/>
    <col min="2" max="2" width="11.26953125" style="6" bestFit="1" customWidth="1"/>
    <col min="3" max="3" width="15" style="6" bestFit="1" customWidth="1"/>
    <col min="4" max="4" width="13.453125" style="6" bestFit="1" customWidth="1"/>
    <col min="5" max="5" width="17.1796875" style="23" bestFit="1" customWidth="1"/>
    <col min="6" max="6" width="12.36328125" style="6" bestFit="1" customWidth="1"/>
    <col min="7" max="7" width="12.26953125" style="6" bestFit="1" customWidth="1"/>
    <col min="8" max="8" width="20.7265625" style="26" bestFit="1" customWidth="1"/>
    <col min="9" max="9" width="19" style="26" bestFit="1" customWidth="1"/>
    <col min="10" max="10" width="9" style="6" bestFit="1" customWidth="1"/>
    <col min="11" max="11" width="18.36328125" style="6" bestFit="1" customWidth="1"/>
    <col min="12" max="12" width="12.36328125" style="6" bestFit="1" customWidth="1"/>
  </cols>
  <sheetData>
    <row r="1" spans="1:12" ht="29" x14ac:dyDescent="0.35">
      <c r="A1" s="5" t="s">
        <v>57</v>
      </c>
      <c r="B1" s="5" t="s">
        <v>6</v>
      </c>
      <c r="C1" s="5" t="s">
        <v>94</v>
      </c>
      <c r="D1" s="5" t="s">
        <v>28</v>
      </c>
      <c r="E1" s="21" t="s">
        <v>29</v>
      </c>
      <c r="F1" s="5" t="s">
        <v>62</v>
      </c>
      <c r="G1" s="5" t="s">
        <v>95</v>
      </c>
      <c r="H1" s="25" t="s">
        <v>96</v>
      </c>
      <c r="I1" s="25" t="s">
        <v>97</v>
      </c>
      <c r="J1" s="5" t="s">
        <v>98</v>
      </c>
      <c r="K1" s="5" t="s">
        <v>99</v>
      </c>
      <c r="L1" s="5" t="s">
        <v>100</v>
      </c>
    </row>
    <row r="2" spans="1:12" x14ac:dyDescent="0.35">
      <c r="A2" s="2" t="s">
        <v>67</v>
      </c>
      <c r="B2" s="7" t="s">
        <v>7</v>
      </c>
      <c r="C2" s="8">
        <v>45810</v>
      </c>
      <c r="D2" s="7" t="s">
        <v>101</v>
      </c>
      <c r="E2" s="22">
        <v>300000</v>
      </c>
      <c r="F2" s="7">
        <v>3</v>
      </c>
      <c r="G2" s="7">
        <v>725</v>
      </c>
      <c r="H2" s="24">
        <v>20000</v>
      </c>
      <c r="I2" s="24">
        <v>29500</v>
      </c>
      <c r="J2" s="7" t="s">
        <v>102</v>
      </c>
      <c r="K2" s="7" t="s">
        <v>69</v>
      </c>
      <c r="L2" s="7">
        <v>1</v>
      </c>
    </row>
    <row r="3" spans="1:12" x14ac:dyDescent="0.35">
      <c r="A3" s="2" t="s">
        <v>71</v>
      </c>
      <c r="B3" s="7" t="s">
        <v>8</v>
      </c>
      <c r="C3" s="8">
        <v>45811</v>
      </c>
      <c r="D3" s="7" t="s">
        <v>103</v>
      </c>
      <c r="E3" s="22">
        <v>100000</v>
      </c>
      <c r="F3" s="7">
        <v>3</v>
      </c>
      <c r="G3" s="7">
        <v>650</v>
      </c>
      <c r="H3" s="24">
        <v>15000</v>
      </c>
      <c r="I3" s="24">
        <v>18500</v>
      </c>
      <c r="J3" s="7" t="s">
        <v>102</v>
      </c>
      <c r="K3" s="7" t="s">
        <v>69</v>
      </c>
      <c r="L3" s="7">
        <v>1</v>
      </c>
    </row>
    <row r="4" spans="1:12" x14ac:dyDescent="0.35">
      <c r="A4" s="2" t="s">
        <v>73</v>
      </c>
      <c r="B4" s="7" t="s">
        <v>9</v>
      </c>
      <c r="C4" s="8">
        <v>45812</v>
      </c>
      <c r="D4" s="7" t="s">
        <v>101</v>
      </c>
      <c r="E4" s="22">
        <v>500000</v>
      </c>
      <c r="F4" s="7">
        <v>3</v>
      </c>
      <c r="G4" s="7">
        <v>780</v>
      </c>
      <c r="H4" s="24">
        <v>30000</v>
      </c>
      <c r="I4" s="24">
        <v>37000</v>
      </c>
      <c r="J4" s="7" t="s">
        <v>102</v>
      </c>
      <c r="K4" s="7" t="s">
        <v>69</v>
      </c>
      <c r="L4" s="7">
        <v>1</v>
      </c>
    </row>
    <row r="5" spans="1:12" x14ac:dyDescent="0.35">
      <c r="A5" s="2" t="s">
        <v>104</v>
      </c>
      <c r="B5" s="7" t="s">
        <v>10</v>
      </c>
      <c r="C5" s="8">
        <v>45813</v>
      </c>
      <c r="D5" s="7" t="s">
        <v>105</v>
      </c>
      <c r="E5" s="22">
        <v>600000</v>
      </c>
      <c r="F5" s="7">
        <v>3</v>
      </c>
      <c r="G5" s="7">
        <v>590</v>
      </c>
      <c r="H5" s="24">
        <v>45000</v>
      </c>
      <c r="I5" s="24">
        <v>43000</v>
      </c>
      <c r="J5" s="7" t="s">
        <v>106</v>
      </c>
      <c r="K5" s="7" t="s">
        <v>107</v>
      </c>
      <c r="L5" s="7">
        <v>0</v>
      </c>
    </row>
    <row r="6" spans="1:12" x14ac:dyDescent="0.35">
      <c r="A6" s="2" t="s">
        <v>108</v>
      </c>
      <c r="B6" s="7" t="s">
        <v>11</v>
      </c>
      <c r="C6" s="8">
        <v>45814</v>
      </c>
      <c r="D6" s="7" t="s">
        <v>103</v>
      </c>
      <c r="E6" s="22">
        <v>80000</v>
      </c>
      <c r="F6" s="7">
        <v>3</v>
      </c>
      <c r="G6" s="7">
        <v>520</v>
      </c>
      <c r="H6" s="24">
        <v>22000</v>
      </c>
      <c r="I6" s="24">
        <v>28500</v>
      </c>
      <c r="J6" s="7" t="s">
        <v>106</v>
      </c>
      <c r="K6" s="7" t="s">
        <v>109</v>
      </c>
      <c r="L6" s="7">
        <v>0</v>
      </c>
    </row>
    <row r="7" spans="1:12" x14ac:dyDescent="0.35">
      <c r="A7" s="2" t="s">
        <v>75</v>
      </c>
      <c r="B7" s="7" t="s">
        <v>12</v>
      </c>
      <c r="C7" s="8">
        <v>45815</v>
      </c>
      <c r="D7" s="7" t="s">
        <v>105</v>
      </c>
      <c r="E7" s="22">
        <v>700000</v>
      </c>
      <c r="F7" s="7">
        <v>3</v>
      </c>
      <c r="G7" s="7">
        <v>735</v>
      </c>
      <c r="H7" s="24">
        <v>35000</v>
      </c>
      <c r="I7" s="24">
        <v>47000</v>
      </c>
      <c r="J7" s="7" t="s">
        <v>102</v>
      </c>
      <c r="K7" s="7" t="s">
        <v>69</v>
      </c>
      <c r="L7" s="7">
        <v>1</v>
      </c>
    </row>
    <row r="8" spans="1:12" x14ac:dyDescent="0.35">
      <c r="A8" s="2" t="s">
        <v>77</v>
      </c>
      <c r="B8" s="7" t="s">
        <v>13</v>
      </c>
      <c r="C8" s="8">
        <v>45816</v>
      </c>
      <c r="D8" s="7" t="s">
        <v>101</v>
      </c>
      <c r="E8" s="22">
        <v>200000</v>
      </c>
      <c r="F8" s="7">
        <v>3</v>
      </c>
      <c r="G8" s="7">
        <v>680</v>
      </c>
      <c r="H8" s="24">
        <v>12000</v>
      </c>
      <c r="I8" s="24">
        <v>21000</v>
      </c>
      <c r="J8" s="7" t="s">
        <v>102</v>
      </c>
      <c r="K8" s="7" t="s">
        <v>69</v>
      </c>
      <c r="L8" s="7">
        <v>1</v>
      </c>
    </row>
    <row r="9" spans="1:12" x14ac:dyDescent="0.35">
      <c r="A9" s="2" t="s">
        <v>79</v>
      </c>
      <c r="B9" s="7" t="s">
        <v>14</v>
      </c>
      <c r="C9" s="8">
        <v>45817</v>
      </c>
      <c r="D9" s="7" t="s">
        <v>105</v>
      </c>
      <c r="E9" s="22">
        <v>1000000</v>
      </c>
      <c r="F9" s="7">
        <v>3</v>
      </c>
      <c r="G9" s="7">
        <v>760</v>
      </c>
      <c r="H9" s="24">
        <v>60000</v>
      </c>
      <c r="I9" s="24">
        <v>52000</v>
      </c>
      <c r="J9" s="7" t="s">
        <v>102</v>
      </c>
      <c r="K9" s="7" t="s">
        <v>69</v>
      </c>
      <c r="L9" s="7">
        <v>1</v>
      </c>
    </row>
    <row r="10" spans="1:12" x14ac:dyDescent="0.35">
      <c r="A10" s="2" t="s">
        <v>81</v>
      </c>
      <c r="B10" s="7" t="s">
        <v>15</v>
      </c>
      <c r="C10" s="8">
        <v>45818</v>
      </c>
      <c r="D10" s="7" t="s">
        <v>103</v>
      </c>
      <c r="E10" s="22">
        <v>120000</v>
      </c>
      <c r="F10" s="7">
        <v>3</v>
      </c>
      <c r="G10" s="7">
        <v>605</v>
      </c>
      <c r="H10" s="24">
        <v>18000</v>
      </c>
      <c r="I10" s="24">
        <v>21000</v>
      </c>
      <c r="J10" s="7" t="s">
        <v>102</v>
      </c>
      <c r="K10" s="7" t="s">
        <v>69</v>
      </c>
      <c r="L10" s="7">
        <v>1</v>
      </c>
    </row>
    <row r="11" spans="1:12" x14ac:dyDescent="0.35">
      <c r="A11" s="2" t="s">
        <v>83</v>
      </c>
      <c r="B11" s="7" t="s">
        <v>84</v>
      </c>
      <c r="C11" s="8">
        <v>45819</v>
      </c>
      <c r="D11" s="7" t="s">
        <v>101</v>
      </c>
      <c r="E11" s="22">
        <v>350000</v>
      </c>
      <c r="F11" s="7">
        <v>3</v>
      </c>
      <c r="G11" s="7">
        <v>745</v>
      </c>
      <c r="H11" s="24">
        <v>20000</v>
      </c>
      <c r="I11" s="24">
        <v>33000</v>
      </c>
      <c r="J11" s="7" t="s">
        <v>102</v>
      </c>
      <c r="K11" s="7" t="s">
        <v>69</v>
      </c>
      <c r="L11" s="7">
        <v>1</v>
      </c>
    </row>
    <row r="12" spans="1:12" x14ac:dyDescent="0.35">
      <c r="A12" s="2" t="s">
        <v>110</v>
      </c>
      <c r="B12" s="7" t="s">
        <v>209</v>
      </c>
      <c r="C12" s="8">
        <v>45820</v>
      </c>
      <c r="D12" s="7" t="s">
        <v>103</v>
      </c>
      <c r="E12" s="22">
        <v>120000</v>
      </c>
      <c r="F12" s="7">
        <v>3</v>
      </c>
      <c r="G12" s="7">
        <v>730</v>
      </c>
      <c r="H12" s="24">
        <v>15000</v>
      </c>
      <c r="I12" s="24">
        <v>22000</v>
      </c>
      <c r="J12" s="7" t="s">
        <v>102</v>
      </c>
      <c r="K12" s="7" t="s">
        <v>69</v>
      </c>
      <c r="L12" s="7">
        <v>1</v>
      </c>
    </row>
    <row r="13" spans="1:12" x14ac:dyDescent="0.35">
      <c r="A13" s="2" t="s">
        <v>111</v>
      </c>
      <c r="B13" s="7" t="s">
        <v>210</v>
      </c>
      <c r="C13" s="8">
        <v>45821</v>
      </c>
      <c r="D13" s="7" t="s">
        <v>105</v>
      </c>
      <c r="E13" s="22">
        <v>900000</v>
      </c>
      <c r="F13" s="7">
        <v>3</v>
      </c>
      <c r="G13" s="7">
        <v>790</v>
      </c>
      <c r="H13" s="24">
        <v>40000</v>
      </c>
      <c r="I13" s="24">
        <v>61000</v>
      </c>
      <c r="J13" s="7" t="s">
        <v>102</v>
      </c>
      <c r="K13" s="7" t="s">
        <v>69</v>
      </c>
      <c r="L13" s="7">
        <v>1</v>
      </c>
    </row>
    <row r="14" spans="1:12" x14ac:dyDescent="0.35">
      <c r="A14" s="2" t="s">
        <v>112</v>
      </c>
      <c r="B14" s="7" t="s">
        <v>211</v>
      </c>
      <c r="C14" s="8">
        <v>45822</v>
      </c>
      <c r="D14" s="7" t="s">
        <v>101</v>
      </c>
      <c r="E14" s="22">
        <v>250000</v>
      </c>
      <c r="F14" s="7">
        <v>3</v>
      </c>
      <c r="G14" s="7">
        <v>540</v>
      </c>
      <c r="H14" s="24">
        <v>25000</v>
      </c>
      <c r="I14" s="24">
        <v>26000</v>
      </c>
      <c r="J14" s="7" t="s">
        <v>106</v>
      </c>
      <c r="K14" s="7" t="s">
        <v>113</v>
      </c>
      <c r="L14" s="7">
        <v>0</v>
      </c>
    </row>
    <row r="15" spans="1:12" x14ac:dyDescent="0.35">
      <c r="A15" s="2" t="s">
        <v>114</v>
      </c>
      <c r="B15" s="7" t="s">
        <v>212</v>
      </c>
      <c r="C15" s="8">
        <v>45823</v>
      </c>
      <c r="D15" s="7" t="s">
        <v>103</v>
      </c>
      <c r="E15" s="22">
        <v>150000</v>
      </c>
      <c r="F15" s="7">
        <v>3</v>
      </c>
      <c r="G15" s="7">
        <v>770</v>
      </c>
      <c r="H15" s="24">
        <v>18000</v>
      </c>
      <c r="I15" s="24">
        <v>24000</v>
      </c>
      <c r="J15" s="7" t="s">
        <v>102</v>
      </c>
      <c r="K15" s="7" t="s">
        <v>69</v>
      </c>
      <c r="L15" s="7">
        <v>1</v>
      </c>
    </row>
    <row r="16" spans="1:12" x14ac:dyDescent="0.35">
      <c r="A16" s="2" t="s">
        <v>115</v>
      </c>
      <c r="B16" s="7" t="s">
        <v>213</v>
      </c>
      <c r="C16" s="8">
        <v>45824</v>
      </c>
      <c r="D16" s="7" t="s">
        <v>101</v>
      </c>
      <c r="E16" s="22">
        <v>300000</v>
      </c>
      <c r="F16" s="7">
        <v>3</v>
      </c>
      <c r="G16" s="7">
        <v>610</v>
      </c>
      <c r="H16" s="24">
        <v>28000</v>
      </c>
      <c r="I16" s="24">
        <v>31000</v>
      </c>
      <c r="J16" s="7" t="s">
        <v>106</v>
      </c>
      <c r="K16" s="7" t="s">
        <v>116</v>
      </c>
      <c r="L16" s="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8"/>
  <sheetViews>
    <sheetView tabSelected="1" topLeftCell="A19" workbookViewId="0">
      <selection activeCell="E12" sqref="E12"/>
    </sheetView>
  </sheetViews>
  <sheetFormatPr defaultRowHeight="14.5" x14ac:dyDescent="0.35"/>
  <cols>
    <col min="2" max="2" width="12.6328125" style="6" bestFit="1" customWidth="1"/>
    <col min="3" max="3" width="11.26953125" style="6" bestFit="1" customWidth="1"/>
    <col min="4" max="4" width="17.36328125" style="6" bestFit="1" customWidth="1"/>
    <col min="6" max="6" width="20.453125" bestFit="1" customWidth="1"/>
    <col min="7" max="7" width="14.1796875" style="6" bestFit="1" customWidth="1"/>
    <col min="8" max="8" width="14.26953125" style="6" bestFit="1" customWidth="1"/>
    <col min="9" max="9" width="14.7265625" style="6" bestFit="1" customWidth="1"/>
    <col min="10" max="10" width="16.26953125" style="6" bestFit="1" customWidth="1"/>
    <col min="11" max="11" width="21.26953125" style="6" bestFit="1" customWidth="1"/>
    <col min="16" max="16" width="14.90625" style="6" bestFit="1" customWidth="1"/>
    <col min="17" max="17" width="15.36328125" bestFit="1" customWidth="1"/>
    <col min="19" max="19" width="22.1796875" bestFit="1" customWidth="1"/>
  </cols>
  <sheetData>
    <row r="1" spans="1:21" x14ac:dyDescent="0.35">
      <c r="A1" s="1" t="s">
        <v>56</v>
      </c>
      <c r="B1" s="5" t="s">
        <v>57</v>
      </c>
      <c r="C1" s="5" t="s">
        <v>6</v>
      </c>
      <c r="D1" s="5" t="s">
        <v>58</v>
      </c>
      <c r="E1" s="1" t="s">
        <v>59</v>
      </c>
      <c r="F1" s="5" t="s">
        <v>221</v>
      </c>
      <c r="G1" s="5" t="s">
        <v>230</v>
      </c>
      <c r="H1" s="5" t="s">
        <v>62</v>
      </c>
      <c r="I1" s="5" t="s">
        <v>63</v>
      </c>
      <c r="J1" s="5" t="s">
        <v>223</v>
      </c>
      <c r="K1" s="5" t="s">
        <v>222</v>
      </c>
      <c r="O1" s="14" t="s">
        <v>235</v>
      </c>
      <c r="P1" s="15" t="s">
        <v>236</v>
      </c>
      <c r="Q1" s="14" t="s">
        <v>237</v>
      </c>
      <c r="R1" s="14" t="s">
        <v>234</v>
      </c>
      <c r="S1" s="14" t="s">
        <v>231</v>
      </c>
      <c r="T1" s="14" t="s">
        <v>232</v>
      </c>
      <c r="U1" s="14" t="s">
        <v>233</v>
      </c>
    </row>
    <row r="2" spans="1:21" x14ac:dyDescent="0.35">
      <c r="A2" s="2" t="s">
        <v>66</v>
      </c>
      <c r="B2" s="7" t="s">
        <v>67</v>
      </c>
      <c r="C2" s="7" t="s">
        <v>7</v>
      </c>
      <c r="D2" s="8">
        <v>45840</v>
      </c>
      <c r="E2" s="2">
        <v>50000</v>
      </c>
      <c r="F2" s="12">
        <f>48%/12</f>
        <v>0.04</v>
      </c>
      <c r="G2" s="7">
        <v>1000</v>
      </c>
      <c r="H2" s="7">
        <v>3</v>
      </c>
      <c r="I2" s="8">
        <v>46298</v>
      </c>
      <c r="J2" s="7" t="s">
        <v>224</v>
      </c>
      <c r="K2" s="7">
        <f>E2*F2*3+E2+G2</f>
        <v>57000</v>
      </c>
    </row>
    <row r="3" spans="1:21" x14ac:dyDescent="0.35">
      <c r="A3" s="2" t="s">
        <v>70</v>
      </c>
      <c r="B3" s="7" t="s">
        <v>71</v>
      </c>
      <c r="C3" s="7" t="s">
        <v>8</v>
      </c>
      <c r="D3" s="8">
        <v>45872</v>
      </c>
      <c r="E3" s="2">
        <v>70000</v>
      </c>
      <c r="F3" s="12">
        <f t="shared" ref="F3:F21" si="0">48%/12</f>
        <v>0.04</v>
      </c>
      <c r="G3" s="7">
        <v>3000</v>
      </c>
      <c r="H3" s="7">
        <v>3</v>
      </c>
      <c r="I3" s="8">
        <v>46299</v>
      </c>
      <c r="J3" s="7" t="s">
        <v>224</v>
      </c>
      <c r="K3" s="7">
        <f>E3*F3*3+G3+E3</f>
        <v>81400</v>
      </c>
    </row>
    <row r="4" spans="1:21" x14ac:dyDescent="0.35">
      <c r="A4" s="2" t="s">
        <v>72</v>
      </c>
      <c r="B4" s="7" t="s">
        <v>73</v>
      </c>
      <c r="C4" s="7" t="s">
        <v>9</v>
      </c>
      <c r="D4" s="8">
        <v>45842</v>
      </c>
      <c r="E4" s="2">
        <v>90000</v>
      </c>
      <c r="F4" s="12">
        <f t="shared" si="0"/>
        <v>0.04</v>
      </c>
      <c r="G4" s="7">
        <v>2000</v>
      </c>
      <c r="H4" s="7">
        <v>3</v>
      </c>
      <c r="I4" s="8">
        <v>46300</v>
      </c>
      <c r="J4" s="17" t="s">
        <v>225</v>
      </c>
      <c r="K4" s="7">
        <f>E2*F2*3+G4+E4</f>
        <v>98000</v>
      </c>
    </row>
    <row r="5" spans="1:21" x14ac:dyDescent="0.35">
      <c r="A5" s="2" t="s">
        <v>74</v>
      </c>
      <c r="B5" s="7" t="s">
        <v>104</v>
      </c>
      <c r="C5" s="7" t="s">
        <v>10</v>
      </c>
      <c r="D5" s="8">
        <v>45907</v>
      </c>
      <c r="E5" s="2">
        <v>110000</v>
      </c>
      <c r="F5" s="12">
        <f t="shared" si="0"/>
        <v>0.04</v>
      </c>
      <c r="G5" s="7">
        <v>3000</v>
      </c>
      <c r="H5" s="7">
        <v>3</v>
      </c>
      <c r="I5" s="8">
        <v>46301</v>
      </c>
      <c r="J5" s="7" t="s">
        <v>226</v>
      </c>
      <c r="K5" s="7">
        <f t="shared" ref="K5:K21" si="1">E5*F5*H5+G5+E5</f>
        <v>126200</v>
      </c>
    </row>
    <row r="6" spans="1:21" x14ac:dyDescent="0.35">
      <c r="A6" s="2" t="s">
        <v>76</v>
      </c>
      <c r="B6" s="7" t="s">
        <v>108</v>
      </c>
      <c r="C6" s="7" t="s">
        <v>11</v>
      </c>
      <c r="D6" s="8">
        <v>45938</v>
      </c>
      <c r="E6" s="2">
        <v>130000</v>
      </c>
      <c r="F6" s="12">
        <f t="shared" si="0"/>
        <v>0.04</v>
      </c>
      <c r="G6" s="7">
        <v>3000</v>
      </c>
      <c r="H6" s="7">
        <v>3</v>
      </c>
      <c r="I6" s="8">
        <v>46302</v>
      </c>
      <c r="J6" s="7" t="s">
        <v>226</v>
      </c>
      <c r="K6" s="7">
        <f t="shared" si="1"/>
        <v>148600</v>
      </c>
    </row>
    <row r="7" spans="1:21" x14ac:dyDescent="0.35">
      <c r="A7" s="2" t="s">
        <v>78</v>
      </c>
      <c r="B7" s="7" t="s">
        <v>75</v>
      </c>
      <c r="C7" s="7" t="s">
        <v>12</v>
      </c>
      <c r="D7" s="8">
        <v>45847</v>
      </c>
      <c r="E7" s="2">
        <v>150000</v>
      </c>
      <c r="F7" s="12">
        <f t="shared" si="0"/>
        <v>0.04</v>
      </c>
      <c r="G7" s="7">
        <v>5000</v>
      </c>
      <c r="H7" s="7">
        <v>3</v>
      </c>
      <c r="I7" s="8">
        <v>46303</v>
      </c>
      <c r="J7" s="7" t="s">
        <v>227</v>
      </c>
      <c r="K7" s="7">
        <f t="shared" si="1"/>
        <v>173000</v>
      </c>
    </row>
    <row r="8" spans="1:21" x14ac:dyDescent="0.35">
      <c r="A8" s="2" t="s">
        <v>80</v>
      </c>
      <c r="B8" s="7" t="s">
        <v>77</v>
      </c>
      <c r="C8" s="7" t="s">
        <v>13</v>
      </c>
      <c r="D8" s="8">
        <v>45848</v>
      </c>
      <c r="E8" s="2">
        <v>170000</v>
      </c>
      <c r="F8" s="12">
        <f t="shared" si="0"/>
        <v>0.04</v>
      </c>
      <c r="G8" s="7">
        <v>2500</v>
      </c>
      <c r="H8" s="7">
        <v>3</v>
      </c>
      <c r="I8" s="8">
        <v>46304</v>
      </c>
      <c r="J8" s="7" t="s">
        <v>224</v>
      </c>
      <c r="K8" s="7">
        <f t="shared" si="1"/>
        <v>192900</v>
      </c>
    </row>
    <row r="9" spans="1:21" x14ac:dyDescent="0.35">
      <c r="A9" s="2" t="s">
        <v>82</v>
      </c>
      <c r="B9" s="7" t="s">
        <v>79</v>
      </c>
      <c r="C9" s="7" t="s">
        <v>14</v>
      </c>
      <c r="D9" s="8">
        <v>45849</v>
      </c>
      <c r="E9" s="2">
        <v>60000</v>
      </c>
      <c r="F9" s="12">
        <f t="shared" si="0"/>
        <v>0.04</v>
      </c>
      <c r="G9" s="7">
        <v>1000</v>
      </c>
      <c r="H9" s="7">
        <v>3</v>
      </c>
      <c r="I9" s="8">
        <v>46305</v>
      </c>
      <c r="J9" s="7" t="s">
        <v>224</v>
      </c>
      <c r="K9" s="7">
        <f t="shared" si="1"/>
        <v>68200</v>
      </c>
      <c r="L9">
        <f>E9*F9*3+G9</f>
        <v>8200</v>
      </c>
    </row>
    <row r="10" spans="1:21" x14ac:dyDescent="0.35">
      <c r="A10" s="2" t="s">
        <v>192</v>
      </c>
      <c r="B10" s="7" t="s">
        <v>81</v>
      </c>
      <c r="C10" s="7" t="s">
        <v>15</v>
      </c>
      <c r="D10" s="8">
        <v>45850</v>
      </c>
      <c r="E10" s="2">
        <v>80000</v>
      </c>
      <c r="F10" s="12">
        <f t="shared" si="0"/>
        <v>0.04</v>
      </c>
      <c r="G10" s="7">
        <v>2000</v>
      </c>
      <c r="H10" s="7">
        <v>3</v>
      </c>
      <c r="I10" s="8">
        <v>46306</v>
      </c>
      <c r="J10" s="7" t="s">
        <v>226</v>
      </c>
      <c r="K10" s="7">
        <f t="shared" si="1"/>
        <v>91600</v>
      </c>
    </row>
    <row r="11" spans="1:21" x14ac:dyDescent="0.35">
      <c r="A11" s="2" t="s">
        <v>193</v>
      </c>
      <c r="B11" s="7" t="s">
        <v>83</v>
      </c>
      <c r="C11" s="7" t="s">
        <v>84</v>
      </c>
      <c r="D11" s="8">
        <v>45851</v>
      </c>
      <c r="E11" s="2">
        <v>100000</v>
      </c>
      <c r="F11" s="12">
        <f t="shared" si="0"/>
        <v>0.04</v>
      </c>
      <c r="G11" s="7">
        <v>3000</v>
      </c>
      <c r="H11" s="7">
        <v>3</v>
      </c>
      <c r="I11" s="8">
        <v>46307</v>
      </c>
      <c r="J11" s="7" t="s">
        <v>228</v>
      </c>
      <c r="K11" s="7">
        <f t="shared" si="1"/>
        <v>115000</v>
      </c>
    </row>
    <row r="12" spans="1:21" x14ac:dyDescent="0.35">
      <c r="A12" s="2" t="s">
        <v>194</v>
      </c>
      <c r="B12" s="7" t="s">
        <v>110</v>
      </c>
      <c r="C12" s="7" t="s">
        <v>209</v>
      </c>
      <c r="D12" s="8">
        <v>45852</v>
      </c>
      <c r="E12" s="2">
        <v>120000</v>
      </c>
      <c r="F12" s="12">
        <f t="shared" si="0"/>
        <v>0.04</v>
      </c>
      <c r="G12" s="7">
        <v>3000</v>
      </c>
      <c r="H12" s="7">
        <v>3</v>
      </c>
      <c r="I12" s="8">
        <v>46308</v>
      </c>
      <c r="J12" s="7" t="s">
        <v>226</v>
      </c>
      <c r="K12" s="7">
        <f t="shared" si="1"/>
        <v>137400</v>
      </c>
    </row>
    <row r="13" spans="1:21" x14ac:dyDescent="0.35">
      <c r="A13" s="2" t="s">
        <v>195</v>
      </c>
      <c r="B13" s="7" t="s">
        <v>111</v>
      </c>
      <c r="C13" s="7" t="s">
        <v>210</v>
      </c>
      <c r="D13" s="8">
        <v>45853</v>
      </c>
      <c r="E13" s="2">
        <v>140000</v>
      </c>
      <c r="F13" s="12">
        <f t="shared" si="0"/>
        <v>0.04</v>
      </c>
      <c r="G13" s="7">
        <v>3000</v>
      </c>
      <c r="H13" s="7">
        <v>3</v>
      </c>
      <c r="I13" s="8">
        <v>46309</v>
      </c>
      <c r="J13" s="7" t="s">
        <v>224</v>
      </c>
      <c r="K13" s="7">
        <f t="shared" si="1"/>
        <v>159800</v>
      </c>
    </row>
    <row r="14" spans="1:21" x14ac:dyDescent="0.35">
      <c r="A14" s="2" t="s">
        <v>196</v>
      </c>
      <c r="B14" s="7" t="s">
        <v>112</v>
      </c>
      <c r="C14" s="7" t="s">
        <v>211</v>
      </c>
      <c r="D14" s="8">
        <v>45854</v>
      </c>
      <c r="E14" s="2">
        <v>160000</v>
      </c>
      <c r="F14" s="12">
        <f t="shared" si="0"/>
        <v>0.04</v>
      </c>
      <c r="G14" s="6">
        <v>5000</v>
      </c>
      <c r="H14" s="7">
        <v>3</v>
      </c>
      <c r="I14" s="8">
        <v>46310</v>
      </c>
      <c r="J14" s="7" t="s">
        <v>226</v>
      </c>
      <c r="K14" s="7">
        <f t="shared" si="1"/>
        <v>184200</v>
      </c>
    </row>
    <row r="15" spans="1:21" x14ac:dyDescent="0.35">
      <c r="A15" s="2" t="s">
        <v>197</v>
      </c>
      <c r="B15" s="7" t="s">
        <v>114</v>
      </c>
      <c r="C15" s="7" t="s">
        <v>212</v>
      </c>
      <c r="D15" s="8">
        <v>45855</v>
      </c>
      <c r="E15" s="2">
        <v>180000</v>
      </c>
      <c r="F15" s="12">
        <f t="shared" si="0"/>
        <v>0.04</v>
      </c>
      <c r="G15" s="6">
        <v>5000</v>
      </c>
      <c r="H15" s="7">
        <v>3</v>
      </c>
      <c r="I15" s="8">
        <v>46311</v>
      </c>
      <c r="J15" s="7" t="s">
        <v>228</v>
      </c>
      <c r="K15" s="7">
        <f t="shared" si="1"/>
        <v>206600</v>
      </c>
    </row>
    <row r="16" spans="1:21" x14ac:dyDescent="0.35">
      <c r="A16" s="2" t="s">
        <v>198</v>
      </c>
      <c r="B16" s="7" t="s">
        <v>115</v>
      </c>
      <c r="C16" s="7" t="s">
        <v>213</v>
      </c>
      <c r="D16" s="8">
        <v>45856</v>
      </c>
      <c r="E16" s="2">
        <v>200000</v>
      </c>
      <c r="F16" s="12">
        <f t="shared" si="0"/>
        <v>0.04</v>
      </c>
      <c r="G16" s="6">
        <v>5000</v>
      </c>
      <c r="H16" s="7">
        <v>3</v>
      </c>
      <c r="I16" s="8">
        <v>46312</v>
      </c>
      <c r="J16" s="7" t="s">
        <v>228</v>
      </c>
      <c r="K16" s="7">
        <f t="shared" si="1"/>
        <v>229000</v>
      </c>
    </row>
    <row r="17" spans="1:13" x14ac:dyDescent="0.35">
      <c r="A17" s="2" t="s">
        <v>199</v>
      </c>
      <c r="B17" s="7" t="s">
        <v>204</v>
      </c>
      <c r="C17" s="7" t="s">
        <v>214</v>
      </c>
      <c r="D17" s="8">
        <v>45857</v>
      </c>
      <c r="E17" s="2">
        <v>70000</v>
      </c>
      <c r="F17" s="12">
        <f t="shared" si="0"/>
        <v>0.04</v>
      </c>
      <c r="G17" s="6">
        <v>2000</v>
      </c>
      <c r="H17" s="7">
        <v>3</v>
      </c>
      <c r="I17" s="8">
        <v>46313</v>
      </c>
      <c r="J17" s="7" t="s">
        <v>229</v>
      </c>
      <c r="K17" s="7">
        <f t="shared" si="1"/>
        <v>80400</v>
      </c>
    </row>
    <row r="18" spans="1:13" x14ac:dyDescent="0.35">
      <c r="A18" s="2" t="s">
        <v>200</v>
      </c>
      <c r="B18" s="7" t="s">
        <v>205</v>
      </c>
      <c r="C18" s="7" t="s">
        <v>215</v>
      </c>
      <c r="D18" s="8">
        <v>45858</v>
      </c>
      <c r="E18" s="2">
        <v>90000</v>
      </c>
      <c r="F18" s="12">
        <f t="shared" si="0"/>
        <v>0.04</v>
      </c>
      <c r="G18" s="6">
        <v>2000</v>
      </c>
      <c r="H18" s="7">
        <v>3</v>
      </c>
      <c r="I18" s="8">
        <v>46314</v>
      </c>
      <c r="J18" s="7" t="s">
        <v>229</v>
      </c>
      <c r="K18" s="7">
        <f t="shared" si="1"/>
        <v>102800</v>
      </c>
    </row>
    <row r="19" spans="1:13" x14ac:dyDescent="0.35">
      <c r="A19" s="2" t="s">
        <v>201</v>
      </c>
      <c r="B19" s="7" t="s">
        <v>206</v>
      </c>
      <c r="C19" s="7" t="s">
        <v>216</v>
      </c>
      <c r="D19" s="8">
        <v>45859</v>
      </c>
      <c r="E19" s="2">
        <v>110000</v>
      </c>
      <c r="F19" s="12">
        <f t="shared" si="0"/>
        <v>0.04</v>
      </c>
      <c r="G19" s="6">
        <v>3000</v>
      </c>
      <c r="H19" s="7">
        <v>3</v>
      </c>
      <c r="I19" s="8">
        <v>46315</v>
      </c>
      <c r="J19" s="7" t="s">
        <v>225</v>
      </c>
      <c r="K19" s="7">
        <f t="shared" si="1"/>
        <v>126200</v>
      </c>
    </row>
    <row r="20" spans="1:13" x14ac:dyDescent="0.35">
      <c r="A20" s="2" t="s">
        <v>202</v>
      </c>
      <c r="B20" s="7" t="s">
        <v>207</v>
      </c>
      <c r="C20" s="7" t="s">
        <v>217</v>
      </c>
      <c r="D20" s="8">
        <v>45860</v>
      </c>
      <c r="E20" s="2">
        <v>50000</v>
      </c>
      <c r="F20" s="12">
        <f t="shared" si="0"/>
        <v>0.04</v>
      </c>
      <c r="G20" s="6">
        <v>1000</v>
      </c>
      <c r="H20" s="7">
        <v>3</v>
      </c>
      <c r="I20" s="8">
        <v>46316</v>
      </c>
      <c r="J20" s="7" t="s">
        <v>224</v>
      </c>
      <c r="K20" s="7">
        <f t="shared" si="1"/>
        <v>57000</v>
      </c>
    </row>
    <row r="21" spans="1:13" x14ac:dyDescent="0.35">
      <c r="A21" s="2" t="s">
        <v>203</v>
      </c>
      <c r="B21" s="7" t="s">
        <v>208</v>
      </c>
      <c r="C21" s="7" t="s">
        <v>218</v>
      </c>
      <c r="D21" s="8">
        <v>45861</v>
      </c>
      <c r="E21" s="2">
        <v>75000</v>
      </c>
      <c r="F21" s="12">
        <f t="shared" si="0"/>
        <v>0.04</v>
      </c>
      <c r="G21" s="6">
        <v>1000</v>
      </c>
      <c r="H21" s="7">
        <v>3</v>
      </c>
      <c r="I21" s="8">
        <v>46317</v>
      </c>
      <c r="J21" s="7" t="s">
        <v>227</v>
      </c>
      <c r="K21" s="7">
        <f t="shared" si="1"/>
        <v>85000</v>
      </c>
    </row>
    <row r="23" spans="1:13" x14ac:dyDescent="0.35">
      <c r="B23" s="18" t="s">
        <v>238</v>
      </c>
    </row>
    <row r="24" spans="1:13" x14ac:dyDescent="0.35">
      <c r="A24" s="1" t="s">
        <v>56</v>
      </c>
      <c r="B24" s="1" t="s">
        <v>219</v>
      </c>
      <c r="C24" s="1" t="s">
        <v>150</v>
      </c>
      <c r="D24" s="11" t="s">
        <v>220</v>
      </c>
      <c r="F24" s="1"/>
      <c r="G24" s="14" t="s">
        <v>235</v>
      </c>
      <c r="H24" s="15" t="s">
        <v>236</v>
      </c>
      <c r="I24" s="14" t="s">
        <v>237</v>
      </c>
      <c r="J24" s="14" t="s">
        <v>234</v>
      </c>
      <c r="K24" s="14" t="s">
        <v>231</v>
      </c>
      <c r="L24" s="14" t="s">
        <v>232</v>
      </c>
      <c r="M24" s="14" t="s">
        <v>233</v>
      </c>
    </row>
    <row r="25" spans="1:13" x14ac:dyDescent="0.35">
      <c r="A25" s="2" t="s">
        <v>66</v>
      </c>
      <c r="B25" s="2">
        <v>1</v>
      </c>
      <c r="C25" s="3">
        <v>45872</v>
      </c>
      <c r="D25" s="10">
        <f>K2/H2</f>
        <v>19000</v>
      </c>
      <c r="G25" s="13"/>
      <c r="H25" s="16">
        <f>SUMIFS(D25:D27, A25:A27,A2, C25:C27, "&lt;="&amp;C27)</f>
        <v>57000</v>
      </c>
      <c r="I25" s="6">
        <f>SUMIFS(D25:D27, A25:A27,A2, C25:C27, "&lt;="&amp;C27)</f>
        <v>57000</v>
      </c>
      <c r="J25" s="20" t="s">
        <v>239</v>
      </c>
    </row>
    <row r="26" spans="1:13" x14ac:dyDescent="0.35">
      <c r="A26" s="2" t="s">
        <v>66</v>
      </c>
      <c r="B26" s="2">
        <v>2</v>
      </c>
      <c r="C26" s="3">
        <v>45903</v>
      </c>
      <c r="D26" s="10">
        <f>K2/H2</f>
        <v>19000</v>
      </c>
    </row>
    <row r="27" spans="1:13" x14ac:dyDescent="0.35">
      <c r="A27" s="2" t="s">
        <v>66</v>
      </c>
      <c r="B27" s="2">
        <v>3</v>
      </c>
      <c r="C27" s="3">
        <v>45933</v>
      </c>
      <c r="D27" s="10">
        <f>K2/H2</f>
        <v>19000</v>
      </c>
    </row>
    <row r="28" spans="1:13" x14ac:dyDescent="0.35">
      <c r="A28" s="2" t="s">
        <v>70</v>
      </c>
      <c r="B28" s="2">
        <v>1</v>
      </c>
      <c r="C28" s="3">
        <v>45903</v>
      </c>
      <c r="D28" s="10">
        <f>K3/H3</f>
        <v>27133.333333333332</v>
      </c>
      <c r="G28" s="13"/>
      <c r="H28" s="6">
        <f>SUMIFS(D28:D30, A28:A30,A3,C28:C30,"&lt;="&amp;C30)</f>
        <v>81400</v>
      </c>
      <c r="I28" s="6">
        <f>SUMIFS(D28:D30, A28:A30,A3,C28:C30,"&lt;="&amp;C30)</f>
        <v>81400</v>
      </c>
      <c r="J28" s="19" t="s">
        <v>239</v>
      </c>
    </row>
    <row r="29" spans="1:13" x14ac:dyDescent="0.35">
      <c r="A29" s="2" t="s">
        <v>70</v>
      </c>
      <c r="B29" s="2">
        <v>2</v>
      </c>
      <c r="C29" s="3">
        <v>45933</v>
      </c>
      <c r="D29" s="10">
        <f>K3/H3</f>
        <v>27133.333333333332</v>
      </c>
    </row>
    <row r="30" spans="1:13" x14ac:dyDescent="0.35">
      <c r="A30" s="2" t="s">
        <v>70</v>
      </c>
      <c r="B30" s="2">
        <v>3</v>
      </c>
      <c r="C30" s="3">
        <v>45964</v>
      </c>
      <c r="D30" s="10">
        <f>K3/H3</f>
        <v>27133.333333333332</v>
      </c>
    </row>
    <row r="31" spans="1:13" x14ac:dyDescent="0.35">
      <c r="A31" s="28" t="s">
        <v>72</v>
      </c>
      <c r="B31" s="28">
        <v>1</v>
      </c>
      <c r="C31" s="29">
        <v>45874</v>
      </c>
      <c r="D31" s="30">
        <f>K4/H4</f>
        <v>32666.666666666668</v>
      </c>
    </row>
    <row r="32" spans="1:13" x14ac:dyDescent="0.35">
      <c r="A32" s="28" t="s">
        <v>72</v>
      </c>
      <c r="B32" s="28">
        <v>2</v>
      </c>
      <c r="C32" s="29">
        <v>45905</v>
      </c>
      <c r="D32" s="30">
        <f>K4/H4</f>
        <v>32666.666666666668</v>
      </c>
    </row>
    <row r="33" spans="1:11" x14ac:dyDescent="0.35">
      <c r="A33" s="28" t="s">
        <v>72</v>
      </c>
      <c r="B33" s="28">
        <v>3</v>
      </c>
      <c r="C33" s="29">
        <v>45935</v>
      </c>
      <c r="D33" s="31">
        <f>D32</f>
        <v>32666.666666666668</v>
      </c>
      <c r="H33" s="6">
        <f>SUMIFS(D31:D33, A31:A33, A4, C31:C33, "&lt;="&amp;C33)</f>
        <v>98000</v>
      </c>
      <c r="I33" s="6">
        <f>SUMIFS(D31:D32,A31:A32, A4,C31:C32, "&lt;="&amp;C33)</f>
        <v>65333.333333333336</v>
      </c>
      <c r="J33" s="27">
        <f>MAX(0,H33-I33)</f>
        <v>32666.666666666664</v>
      </c>
      <c r="K33" s="13">
        <f>C33</f>
        <v>45935</v>
      </c>
    </row>
    <row r="34" spans="1:11" x14ac:dyDescent="0.35">
      <c r="A34" s="2" t="s">
        <v>74</v>
      </c>
      <c r="B34" s="2">
        <v>1</v>
      </c>
      <c r="C34" s="13">
        <v>45937</v>
      </c>
      <c r="D34" s="6">
        <f>K5/H5</f>
        <v>42066.666666666664</v>
      </c>
    </row>
    <row r="35" spans="1:11" x14ac:dyDescent="0.35">
      <c r="A35" s="2" t="s">
        <v>74</v>
      </c>
      <c r="B35" s="2">
        <v>2</v>
      </c>
      <c r="C35" s="13">
        <v>45968</v>
      </c>
      <c r="D35" s="6">
        <f>K5/H5</f>
        <v>42066.666666666664</v>
      </c>
    </row>
    <row r="36" spans="1:11" x14ac:dyDescent="0.35">
      <c r="A36" s="2" t="s">
        <v>74</v>
      </c>
      <c r="B36" s="2">
        <v>3</v>
      </c>
      <c r="C36" s="13">
        <v>45998</v>
      </c>
      <c r="D36" s="6">
        <f>K5/H5</f>
        <v>42066.666666666664</v>
      </c>
    </row>
    <row r="37" spans="1:11" x14ac:dyDescent="0.35">
      <c r="A37" s="2" t="s">
        <v>76</v>
      </c>
      <c r="B37" s="2">
        <v>1</v>
      </c>
      <c r="D37" s="6">
        <f>K6/H6</f>
        <v>49533.333333333336</v>
      </c>
    </row>
    <row r="38" spans="1:11" x14ac:dyDescent="0.35">
      <c r="A38" s="2" t="s">
        <v>76</v>
      </c>
      <c r="B38" s="2">
        <v>2</v>
      </c>
      <c r="D38" s="6">
        <f>K6/H5</f>
        <v>49533.333333333336</v>
      </c>
    </row>
    <row r="39" spans="1:11" x14ac:dyDescent="0.35">
      <c r="A39" s="2" t="s">
        <v>76</v>
      </c>
      <c r="B39" s="2">
        <v>3</v>
      </c>
      <c r="D39" s="6">
        <f>K6/H6</f>
        <v>49533.333333333336</v>
      </c>
    </row>
    <row r="40" spans="1:11" x14ac:dyDescent="0.35">
      <c r="A40" s="2" t="s">
        <v>195</v>
      </c>
    </row>
    <row r="41" spans="1:11" x14ac:dyDescent="0.35">
      <c r="A41" s="2" t="s">
        <v>196</v>
      </c>
    </row>
    <row r="42" spans="1:11" x14ac:dyDescent="0.35">
      <c r="A42" s="2" t="s">
        <v>197</v>
      </c>
    </row>
    <row r="43" spans="1:11" x14ac:dyDescent="0.35">
      <c r="A43" s="2" t="s">
        <v>198</v>
      </c>
    </row>
    <row r="44" spans="1:11" x14ac:dyDescent="0.35">
      <c r="A44" s="2" t="s">
        <v>199</v>
      </c>
    </row>
    <row r="45" spans="1:11" x14ac:dyDescent="0.35">
      <c r="A45" s="2" t="s">
        <v>200</v>
      </c>
    </row>
    <row r="46" spans="1:11" x14ac:dyDescent="0.35">
      <c r="A46" s="2" t="s">
        <v>201</v>
      </c>
    </row>
    <row r="47" spans="1:11" x14ac:dyDescent="0.35">
      <c r="A47" s="2" t="s">
        <v>202</v>
      </c>
    </row>
    <row r="48" spans="1:11" x14ac:dyDescent="0.35">
      <c r="A48" s="2" t="s">
        <v>203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G4" sqref="G4"/>
    </sheetView>
  </sheetViews>
  <sheetFormatPr defaultRowHeight="14.5" x14ac:dyDescent="0.35"/>
  <sheetData>
    <row r="1" spans="1:7" ht="29" x14ac:dyDescent="0.35">
      <c r="A1" s="1" t="s">
        <v>56</v>
      </c>
      <c r="B1" s="1" t="s">
        <v>219</v>
      </c>
      <c r="C1" s="1" t="s">
        <v>150</v>
      </c>
      <c r="D1" s="11" t="s">
        <v>220</v>
      </c>
    </row>
    <row r="2" spans="1:7" x14ac:dyDescent="0.35">
      <c r="A2" s="2" t="s">
        <v>66</v>
      </c>
      <c r="B2" s="2">
        <v>1</v>
      </c>
      <c r="C2" s="3">
        <v>45872</v>
      </c>
      <c r="D2" s="10" t="e">
        <f>#REF!/#REF!</f>
        <v>#REF!</v>
      </c>
    </row>
    <row r="3" spans="1:7" x14ac:dyDescent="0.35">
      <c r="A3" s="2" t="s">
        <v>66</v>
      </c>
      <c r="B3" s="2">
        <v>2</v>
      </c>
      <c r="C3" s="3">
        <v>45903</v>
      </c>
      <c r="D3" s="10" t="e">
        <f>#REF!/#REF!</f>
        <v>#REF!</v>
      </c>
      <c r="G3">
        <f>Loan!D28</f>
        <v>27133.333333333332</v>
      </c>
    </row>
    <row r="4" spans="1:7" x14ac:dyDescent="0.35">
      <c r="A4" s="2" t="s">
        <v>66</v>
      </c>
      <c r="B4" s="2">
        <v>3</v>
      </c>
      <c r="C4" s="3">
        <v>45933</v>
      </c>
      <c r="D4" s="10" t="e">
        <f>#REF!/#REF!</f>
        <v>#REF!</v>
      </c>
    </row>
    <row r="5" spans="1:7" x14ac:dyDescent="0.35">
      <c r="A5" s="2" t="s">
        <v>70</v>
      </c>
      <c r="B5" s="2">
        <v>1</v>
      </c>
      <c r="C5" s="3">
        <v>45903</v>
      </c>
      <c r="D5" s="10" t="e">
        <f>#REF!/#REF!</f>
        <v>#REF!</v>
      </c>
    </row>
    <row r="6" spans="1:7" x14ac:dyDescent="0.35">
      <c r="A6" s="2" t="s">
        <v>70</v>
      </c>
      <c r="B6" s="2">
        <v>2</v>
      </c>
      <c r="C6" s="3">
        <v>45933</v>
      </c>
      <c r="D6" s="10" t="e">
        <f>#REF!/#REF!</f>
        <v>#REF!</v>
      </c>
    </row>
    <row r="7" spans="1:7" x14ac:dyDescent="0.35">
      <c r="A7" s="2" t="s">
        <v>70</v>
      </c>
      <c r="B7" s="2">
        <v>3</v>
      </c>
      <c r="C7" s="3">
        <v>45964</v>
      </c>
      <c r="D7" s="10" t="e">
        <f>#REF!/#REF!</f>
        <v>#REF!</v>
      </c>
    </row>
    <row r="8" spans="1:7" x14ac:dyDescent="0.35">
      <c r="A8" s="28" t="s">
        <v>72</v>
      </c>
      <c r="B8" s="28">
        <v>1</v>
      </c>
      <c r="C8" s="29">
        <v>45874</v>
      </c>
      <c r="D8" s="30" t="e">
        <f>#REF!/#REF!</f>
        <v>#REF!</v>
      </c>
    </row>
    <row r="9" spans="1:7" x14ac:dyDescent="0.35">
      <c r="A9" s="28" t="s">
        <v>72</v>
      </c>
      <c r="B9" s="28">
        <v>2</v>
      </c>
      <c r="C9" s="29">
        <v>45905</v>
      </c>
      <c r="D9" s="30" t="e">
        <f>#REF!/#REF!</f>
        <v>#REF!</v>
      </c>
    </row>
    <row r="10" spans="1:7" x14ac:dyDescent="0.35">
      <c r="A10" s="28" t="s">
        <v>72</v>
      </c>
      <c r="B10" s="28">
        <v>3</v>
      </c>
      <c r="C10" s="29">
        <v>45935</v>
      </c>
      <c r="D10" s="31" t="e">
        <f>D9</f>
        <v>#REF!</v>
      </c>
    </row>
    <row r="11" spans="1:7" x14ac:dyDescent="0.35">
      <c r="A11" s="2" t="s">
        <v>74</v>
      </c>
      <c r="B11" s="2">
        <v>1</v>
      </c>
      <c r="C11" s="13">
        <v>45937</v>
      </c>
      <c r="D11" s="6" t="e">
        <f>#REF!/#REF!</f>
        <v>#REF!</v>
      </c>
    </row>
    <row r="12" spans="1:7" x14ac:dyDescent="0.35">
      <c r="A12" s="2" t="s">
        <v>74</v>
      </c>
      <c r="B12" s="2">
        <v>2</v>
      </c>
      <c r="C12" s="13">
        <v>45968</v>
      </c>
      <c r="D12" s="6" t="e">
        <f>#REF!/#REF!</f>
        <v>#REF!</v>
      </c>
    </row>
    <row r="13" spans="1:7" x14ac:dyDescent="0.35">
      <c r="A13" s="2" t="s">
        <v>74</v>
      </c>
      <c r="B13" s="2">
        <v>3</v>
      </c>
      <c r="C13" s="13">
        <v>45998</v>
      </c>
      <c r="D13" s="6" t="e">
        <f>#REF!/#REF!</f>
        <v>#REF!</v>
      </c>
    </row>
    <row r="14" spans="1:7" x14ac:dyDescent="0.35">
      <c r="A14" s="2" t="s">
        <v>76</v>
      </c>
      <c r="B14" s="2">
        <v>1</v>
      </c>
      <c r="C14" s="6"/>
      <c r="D14" s="6" t="e">
        <f>#REF!/#REF!</f>
        <v>#REF!</v>
      </c>
    </row>
    <row r="15" spans="1:7" x14ac:dyDescent="0.35">
      <c r="A15" s="2" t="s">
        <v>76</v>
      </c>
      <c r="B15" s="2">
        <v>2</v>
      </c>
      <c r="C15" s="6"/>
      <c r="D15" s="6" t="e">
        <f>#REF!/#REF!</f>
        <v>#REF!</v>
      </c>
    </row>
    <row r="16" spans="1:7" x14ac:dyDescent="0.35">
      <c r="A16" s="2" t="s">
        <v>76</v>
      </c>
      <c r="B16" s="2">
        <v>3</v>
      </c>
      <c r="C16" s="6"/>
      <c r="D16" s="6" t="e">
        <f>#REF!/#REF!</f>
        <v>#REF!</v>
      </c>
    </row>
    <row r="17" spans="1:4" x14ac:dyDescent="0.35">
      <c r="A17" s="2" t="s">
        <v>195</v>
      </c>
      <c r="B17" s="6"/>
      <c r="C17" s="6"/>
      <c r="D17" s="6"/>
    </row>
    <row r="18" spans="1:4" x14ac:dyDescent="0.35">
      <c r="A18" s="2" t="s">
        <v>196</v>
      </c>
      <c r="B18" s="6"/>
      <c r="C18" s="6"/>
      <c r="D18" s="6"/>
    </row>
    <row r="19" spans="1:4" x14ac:dyDescent="0.35">
      <c r="A19" s="2" t="s">
        <v>197</v>
      </c>
      <c r="B19" s="6"/>
      <c r="C19" s="6"/>
      <c r="D19" s="6"/>
    </row>
    <row r="20" spans="1:4" x14ac:dyDescent="0.35">
      <c r="A20" s="2" t="s">
        <v>198</v>
      </c>
      <c r="B20" s="6"/>
      <c r="C20" s="6"/>
      <c r="D20" s="6"/>
    </row>
    <row r="21" spans="1:4" x14ac:dyDescent="0.35">
      <c r="A21" s="2" t="s">
        <v>199</v>
      </c>
      <c r="B21" s="6"/>
      <c r="C21" s="6"/>
      <c r="D21" s="6"/>
    </row>
    <row r="22" spans="1:4" x14ac:dyDescent="0.35">
      <c r="A22" s="2" t="s">
        <v>200</v>
      </c>
      <c r="B22" s="6"/>
      <c r="C22" s="6"/>
      <c r="D22" s="6"/>
    </row>
    <row r="23" spans="1:4" x14ac:dyDescent="0.35">
      <c r="A23" s="2" t="s">
        <v>201</v>
      </c>
      <c r="B23" s="6"/>
      <c r="C23" s="6"/>
      <c r="D23" s="6"/>
    </row>
    <row r="24" spans="1:4" x14ac:dyDescent="0.35">
      <c r="A24" s="2" t="s">
        <v>202</v>
      </c>
      <c r="B24" s="6"/>
      <c r="C24" s="6"/>
      <c r="D24" s="6"/>
    </row>
    <row r="25" spans="1:4" x14ac:dyDescent="0.35">
      <c r="A25" s="2" t="s">
        <v>203</v>
      </c>
      <c r="B25" s="6"/>
      <c r="C25" s="6"/>
      <c r="D25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 Dict 1</vt:lpstr>
      <vt:lpstr>Dict 2</vt:lpstr>
      <vt:lpstr>Dict 3</vt:lpstr>
      <vt:lpstr>Dict 4</vt:lpstr>
      <vt:lpstr>Dict 5</vt:lpstr>
      <vt:lpstr>Dict 6</vt:lpstr>
      <vt:lpstr>Customer</vt:lpstr>
      <vt:lpstr>Application</vt:lpstr>
      <vt:lpstr>Loan</vt:lpstr>
      <vt:lpstr>Installment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2026-09-02T20:01:35Z</dcterms:modified>
</cp:coreProperties>
</file>