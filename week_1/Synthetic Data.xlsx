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yanwune chekwube\Downloads\CreditRiskAnalysis\week_1\"/>
    </mc:Choice>
  </mc:AlternateContent>
  <bookViews>
    <workbookView xWindow="0" yWindow="0" windowWidth="19200" windowHeight="7450"/>
  </bookViews>
  <sheets>
    <sheet name="Customer" sheetId="4" r:id="rId1"/>
    <sheet name="Application" sheetId="5" r:id="rId2"/>
    <sheet name="Loan" sheetId="2" r:id="rId3"/>
    <sheet name="Installment" sheetId="12" r:id="rId4"/>
    <sheet name="Formula Allocation" sheetId="13" r:id="rId5"/>
    <sheet name="Metric" sheetId="14" r:id="rId6"/>
    <sheet name="Reconcilation" sheetId="15" r:id="rId7"/>
    <sheet name="Dashboard" sheetId="16" r:id="rId8"/>
  </sheets>
  <externalReferences>
    <externalReference r:id="rId9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6" l="1"/>
  <c r="G25" i="16" s="1"/>
  <c r="E25" i="16"/>
  <c r="B14" i="16"/>
  <c r="N14" i="16"/>
  <c r="Q14" i="16" s="1"/>
  <c r="K14" i="16"/>
  <c r="H14" i="16"/>
  <c r="E33" i="16"/>
  <c r="D33" i="16"/>
  <c r="C33" i="16"/>
  <c r="F33" i="16" s="1"/>
  <c r="E32" i="16"/>
  <c r="D32" i="16"/>
  <c r="C32" i="16"/>
  <c r="F32" i="16" s="1"/>
  <c r="E31" i="16"/>
  <c r="D31" i="16"/>
  <c r="C31" i="16"/>
  <c r="F31" i="16" s="1"/>
  <c r="E30" i="16"/>
  <c r="E34" i="16" s="1"/>
  <c r="D30" i="16"/>
  <c r="D34" i="16" s="1"/>
  <c r="C30" i="16"/>
  <c r="F30" i="16" s="1"/>
  <c r="F34" i="16" s="1"/>
  <c r="C25" i="16"/>
  <c r="D25" i="16" s="1"/>
  <c r="F24" i="16"/>
  <c r="G24" i="16" s="1"/>
  <c r="E24" i="16"/>
  <c r="D24" i="16"/>
  <c r="C24" i="16"/>
  <c r="G23" i="16"/>
  <c r="F23" i="16"/>
  <c r="E23" i="16"/>
  <c r="C23" i="16"/>
  <c r="D23" i="16" s="1"/>
  <c r="F22" i="16"/>
  <c r="G22" i="16" s="1"/>
  <c r="E22" i="16"/>
  <c r="D22" i="16"/>
  <c r="C22" i="16"/>
  <c r="G21" i="16"/>
  <c r="F21" i="16"/>
  <c r="E21" i="16"/>
  <c r="C21" i="16"/>
  <c r="D21" i="16" s="1"/>
  <c r="F20" i="16"/>
  <c r="E20" i="16"/>
  <c r="E26" i="16" s="1"/>
  <c r="D20" i="16"/>
  <c r="C20" i="16"/>
  <c r="C26" i="16" s="1"/>
  <c r="E14" i="16"/>
  <c r="B12" i="16"/>
  <c r="C6" i="15"/>
  <c r="C5" i="15"/>
  <c r="C4" i="15"/>
  <c r="F26" i="16" l="1"/>
  <c r="D26" i="16"/>
  <c r="C34" i="16"/>
  <c r="G20" i="16"/>
  <c r="G26" i="16" s="1"/>
  <c r="B4" i="15" l="1"/>
  <c r="H16" i="12"/>
  <c r="M63" i="12" l="1"/>
  <c r="N63" i="12" s="1"/>
  <c r="M64" i="12"/>
  <c r="N64" i="12" s="1"/>
  <c r="O63" i="12"/>
  <c r="O64" i="12"/>
  <c r="N19" i="12"/>
  <c r="J35" i="12"/>
  <c r="M13" i="12"/>
  <c r="N13" i="12" s="1"/>
  <c r="M12" i="12"/>
  <c r="N12" i="12" s="1"/>
  <c r="M14" i="12"/>
  <c r="N14" i="12" s="1"/>
  <c r="M15" i="12"/>
  <c r="N15" i="12" s="1"/>
  <c r="M16" i="12"/>
  <c r="N16" i="12" s="1"/>
  <c r="M17" i="12"/>
  <c r="N17" i="12" s="1"/>
  <c r="M18" i="12"/>
  <c r="N18" i="12" s="1"/>
  <c r="M11" i="12"/>
  <c r="N11" i="12" s="1"/>
  <c r="M10" i="12"/>
  <c r="N10" i="12" s="1"/>
  <c r="M9" i="12"/>
  <c r="N9" i="12" s="1"/>
  <c r="M8" i="12"/>
  <c r="N8" i="12" s="1"/>
  <c r="J26" i="12"/>
  <c r="K12" i="2"/>
  <c r="D35" i="12"/>
  <c r="H35" i="12" s="1"/>
  <c r="M61" i="12"/>
  <c r="N61" i="12" s="1"/>
  <c r="M60" i="12"/>
  <c r="N60" i="12" s="1"/>
  <c r="M59" i="12"/>
  <c r="N59" i="12" s="1"/>
  <c r="M43" i="12"/>
  <c r="N43" i="12" s="1"/>
  <c r="M42" i="12"/>
  <c r="N42" i="12" s="1"/>
  <c r="M41" i="12"/>
  <c r="N41" i="12" s="1"/>
  <c r="M25" i="12"/>
  <c r="N25" i="12" s="1"/>
  <c r="M24" i="12"/>
  <c r="N24" i="12" s="1"/>
  <c r="M2" i="12"/>
  <c r="N2" i="12" s="1"/>
  <c r="M3" i="12"/>
  <c r="N3" i="12" s="1"/>
  <c r="M4" i="12"/>
  <c r="N4" i="12" s="1"/>
  <c r="M5" i="12"/>
  <c r="N5" i="12" s="1"/>
  <c r="M6" i="12"/>
  <c r="N6" i="12" s="1"/>
  <c r="M7" i="12"/>
  <c r="N7" i="12" s="1"/>
  <c r="M20" i="12"/>
  <c r="N20" i="12" s="1"/>
  <c r="M21" i="12"/>
  <c r="N21" i="12" s="1"/>
  <c r="M22" i="12"/>
  <c r="N22" i="12" s="1"/>
  <c r="M23" i="12"/>
  <c r="N23" i="12" s="1"/>
  <c r="M26" i="12"/>
  <c r="N26" i="12" s="1"/>
  <c r="M27" i="12"/>
  <c r="N27" i="12" s="1"/>
  <c r="M28" i="12"/>
  <c r="N28" i="12" s="1"/>
  <c r="M29" i="12"/>
  <c r="N29" i="12" s="1"/>
  <c r="M30" i="12"/>
  <c r="N30" i="12" s="1"/>
  <c r="M31" i="12"/>
  <c r="N31" i="12" s="1"/>
  <c r="M32" i="12"/>
  <c r="N32" i="12" s="1"/>
  <c r="M33" i="12"/>
  <c r="N33" i="12" s="1"/>
  <c r="M34" i="12"/>
  <c r="N34" i="12" s="1"/>
  <c r="M35" i="12"/>
  <c r="N35" i="12" s="1"/>
  <c r="M36" i="12"/>
  <c r="N36" i="12" s="1"/>
  <c r="M37" i="12"/>
  <c r="N37" i="12" s="1"/>
  <c r="M38" i="12"/>
  <c r="N38" i="12" s="1"/>
  <c r="M39" i="12"/>
  <c r="N39" i="12" s="1"/>
  <c r="M40" i="12"/>
  <c r="N40" i="12" s="1"/>
  <c r="M44" i="12"/>
  <c r="N44" i="12" s="1"/>
  <c r="M45" i="12"/>
  <c r="N45" i="12" s="1"/>
  <c r="M46" i="12"/>
  <c r="N46" i="12" s="1"/>
  <c r="M47" i="12"/>
  <c r="N47" i="12" s="1"/>
  <c r="M48" i="12"/>
  <c r="N48" i="12" s="1"/>
  <c r="M49" i="12"/>
  <c r="N49" i="12" s="1"/>
  <c r="M50" i="12"/>
  <c r="N50" i="12" s="1"/>
  <c r="M51" i="12"/>
  <c r="N51" i="12" s="1"/>
  <c r="M52" i="12"/>
  <c r="N52" i="12" s="1"/>
  <c r="M53" i="12"/>
  <c r="N53" i="12" s="1"/>
  <c r="M54" i="12"/>
  <c r="N54" i="12" s="1"/>
  <c r="M55" i="12"/>
  <c r="N55" i="12" s="1"/>
  <c r="M56" i="12"/>
  <c r="N56" i="12" s="1"/>
  <c r="M57" i="12"/>
  <c r="N57" i="12" s="1"/>
  <c r="M58" i="12"/>
  <c r="N58" i="12" s="1"/>
  <c r="M62" i="12"/>
  <c r="N62" i="12" s="1"/>
  <c r="J12" i="12"/>
  <c r="J13" i="12"/>
  <c r="J11" i="12"/>
  <c r="J30" i="12"/>
  <c r="J31" i="12"/>
  <c r="J29" i="12"/>
  <c r="I62" i="12"/>
  <c r="J10" i="12"/>
  <c r="J9" i="12"/>
  <c r="J8" i="12"/>
  <c r="F3" i="2" l="1"/>
  <c r="F4" i="2"/>
  <c r="F5" i="2"/>
  <c r="J5" i="2" s="1"/>
  <c r="F6" i="2"/>
  <c r="J6" i="2" s="1"/>
  <c r="F7" i="2"/>
  <c r="J7" i="2" s="1"/>
  <c r="F8" i="2"/>
  <c r="J8" i="2" s="1"/>
  <c r="D20" i="12" s="1"/>
  <c r="G20" i="12" s="1"/>
  <c r="F9" i="2"/>
  <c r="F10" i="2"/>
  <c r="J10" i="2" s="1"/>
  <c r="D26" i="12" s="1"/>
  <c r="H26" i="12" s="1"/>
  <c r="F11" i="2"/>
  <c r="J11" i="2" s="1"/>
  <c r="D29" i="12" s="1"/>
  <c r="H29" i="12" s="1"/>
  <c r="F12" i="2"/>
  <c r="J12" i="2" s="1"/>
  <c r="D32" i="12" s="1"/>
  <c r="F13" i="2"/>
  <c r="J13" i="2" s="1"/>
  <c r="F14" i="2"/>
  <c r="J14" i="2" s="1"/>
  <c r="D38" i="12" s="1"/>
  <c r="G38" i="12" s="1"/>
  <c r="H38" i="12" s="1"/>
  <c r="F15" i="2"/>
  <c r="J15" i="2" s="1"/>
  <c r="D41" i="12" s="1"/>
  <c r="F16" i="2"/>
  <c r="J16" i="2" s="1"/>
  <c r="D44" i="12" s="1"/>
  <c r="F17" i="2"/>
  <c r="J17" i="2" s="1"/>
  <c r="D47" i="12" s="1"/>
  <c r="F18" i="2"/>
  <c r="J18" i="2" s="1"/>
  <c r="D50" i="12" s="1"/>
  <c r="G50" i="12" s="1"/>
  <c r="F19" i="2"/>
  <c r="J19" i="2" s="1"/>
  <c r="D53" i="12" s="1"/>
  <c r="F20" i="2"/>
  <c r="J20" i="2" s="1"/>
  <c r="D56" i="12" s="1"/>
  <c r="G56" i="12" s="1"/>
  <c r="H56" i="12" s="1"/>
  <c r="F21" i="2"/>
  <c r="J21" i="2" s="1"/>
  <c r="D59" i="12" s="1"/>
  <c r="G59" i="12" s="1"/>
  <c r="J59" i="12" s="1"/>
  <c r="J60" i="12" s="1"/>
  <c r="F2" i="2"/>
  <c r="J4" i="2" s="1"/>
  <c r="J3" i="2"/>
  <c r="J50" i="12" l="1"/>
  <c r="G32" i="12"/>
  <c r="H32" i="12" s="1"/>
  <c r="D33" i="12"/>
  <c r="I33" i="12" s="1"/>
  <c r="D34" i="12"/>
  <c r="J32" i="12"/>
  <c r="G41" i="12"/>
  <c r="D42" i="12"/>
  <c r="I42" i="12" s="1"/>
  <c r="I38" i="12"/>
  <c r="I47" i="12"/>
  <c r="I56" i="12"/>
  <c r="I44" i="12"/>
  <c r="I32" i="12"/>
  <c r="I20" i="12"/>
  <c r="I50" i="12"/>
  <c r="K50" i="12" s="1"/>
  <c r="I26" i="12"/>
  <c r="K26" i="12" s="1"/>
  <c r="I59" i="12"/>
  <c r="K59" i="12" s="1"/>
  <c r="D36" i="12"/>
  <c r="D37" i="12" s="1"/>
  <c r="I35" i="12"/>
  <c r="K35" i="12" s="1"/>
  <c r="I53" i="12"/>
  <c r="I41" i="12"/>
  <c r="I29" i="12"/>
  <c r="K29" i="12" s="1"/>
  <c r="D14" i="12"/>
  <c r="G14" i="12" s="1"/>
  <c r="D11" i="12"/>
  <c r="H11" i="12" s="1"/>
  <c r="D8" i="12"/>
  <c r="D5" i="12"/>
  <c r="D48" i="12"/>
  <c r="I48" i="12" s="1"/>
  <c r="D45" i="12"/>
  <c r="I45" i="12" s="1"/>
  <c r="D21" i="12"/>
  <c r="D54" i="12"/>
  <c r="I54" i="12" s="1"/>
  <c r="D30" i="12"/>
  <c r="H30" i="12" s="1"/>
  <c r="D51" i="12"/>
  <c r="D39" i="12"/>
  <c r="G39" i="12" s="1"/>
  <c r="H39" i="12" s="1"/>
  <c r="D27" i="12"/>
  <c r="D61" i="12"/>
  <c r="G61" i="12" s="1"/>
  <c r="D60" i="12"/>
  <c r="D57" i="12"/>
  <c r="D58" i="12"/>
  <c r="G58" i="12" s="1"/>
  <c r="H58" i="12" s="1"/>
  <c r="D10" i="12"/>
  <c r="H10" i="12" s="1"/>
  <c r="J9" i="2"/>
  <c r="D23" i="12" s="1"/>
  <c r="G23" i="12" s="1"/>
  <c r="D19" i="12"/>
  <c r="G19" i="12" s="1"/>
  <c r="H19" i="12" s="1"/>
  <c r="D17" i="12"/>
  <c r="H17" i="12" s="1"/>
  <c r="D18" i="12"/>
  <c r="J2" i="2"/>
  <c r="K32" i="12" l="1"/>
  <c r="I34" i="12"/>
  <c r="I37" i="12"/>
  <c r="G37" i="12"/>
  <c r="H37" i="12" s="1"/>
  <c r="G36" i="12"/>
  <c r="D12" i="12"/>
  <c r="H12" i="12" s="1"/>
  <c r="I51" i="12"/>
  <c r="G51" i="12"/>
  <c r="H51" i="12" s="1"/>
  <c r="J41" i="12"/>
  <c r="H41" i="12"/>
  <c r="K41" i="12"/>
  <c r="J23" i="12"/>
  <c r="H23" i="12"/>
  <c r="G34" i="12"/>
  <c r="H34" i="12" s="1"/>
  <c r="G18" i="12"/>
  <c r="H18" i="12" s="1"/>
  <c r="G33" i="12"/>
  <c r="I27" i="12"/>
  <c r="G27" i="12"/>
  <c r="D43" i="12"/>
  <c r="G43" i="12" s="1"/>
  <c r="H43" i="12" s="1"/>
  <c r="G42" i="12"/>
  <c r="I8" i="12"/>
  <c r="K8" i="12" s="1"/>
  <c r="H8" i="12"/>
  <c r="D9" i="12"/>
  <c r="H9" i="12" s="1"/>
  <c r="I60" i="12"/>
  <c r="K60" i="12" s="1"/>
  <c r="G60" i="12"/>
  <c r="J61" i="12" s="1"/>
  <c r="I57" i="12"/>
  <c r="G57" i="12"/>
  <c r="H57" i="12" s="1"/>
  <c r="J56" i="12"/>
  <c r="K56" i="12" s="1"/>
  <c r="H20" i="12"/>
  <c r="J20" i="12"/>
  <c r="K20" i="12" s="1"/>
  <c r="J38" i="12"/>
  <c r="K38" i="12" s="1"/>
  <c r="I36" i="12"/>
  <c r="I5" i="12"/>
  <c r="G5" i="12"/>
  <c r="H5" i="12" s="1"/>
  <c r="I30" i="12"/>
  <c r="K30" i="12" s="1"/>
  <c r="I21" i="12"/>
  <c r="G21" i="12"/>
  <c r="H21" i="12" s="1"/>
  <c r="D22" i="12"/>
  <c r="G22" i="12" s="1"/>
  <c r="H22" i="12" s="1"/>
  <c r="I58" i="12"/>
  <c r="I61" i="12"/>
  <c r="I39" i="12"/>
  <c r="D4" i="12"/>
  <c r="D3" i="12"/>
  <c r="D2" i="12"/>
  <c r="G2" i="12" s="1"/>
  <c r="I18" i="12"/>
  <c r="I19" i="12"/>
  <c r="J19" i="12" s="1"/>
  <c r="K19" i="12" s="1"/>
  <c r="I17" i="12"/>
  <c r="I11" i="12"/>
  <c r="K11" i="12" s="1"/>
  <c r="I14" i="12"/>
  <c r="I23" i="12"/>
  <c r="D13" i="12"/>
  <c r="D15" i="12"/>
  <c r="D6" i="12"/>
  <c r="D7" i="12"/>
  <c r="D24" i="12"/>
  <c r="G24" i="12" s="1"/>
  <c r="H24" i="12" s="1"/>
  <c r="D40" i="12"/>
  <c r="D31" i="12"/>
  <c r="H31" i="12" s="1"/>
  <c r="D55" i="12"/>
  <c r="I55" i="12" s="1"/>
  <c r="D28" i="12"/>
  <c r="D52" i="12"/>
  <c r="D46" i="12"/>
  <c r="I46" i="12" s="1"/>
  <c r="D49" i="12"/>
  <c r="I49" i="12" s="1"/>
  <c r="I10" i="12" l="1"/>
  <c r="K10" i="12" s="1"/>
  <c r="H50" i="12"/>
  <c r="J51" i="12"/>
  <c r="K51" i="12" s="1"/>
  <c r="J36" i="12"/>
  <c r="K36" i="12" s="1"/>
  <c r="J37" i="12"/>
  <c r="K37" i="12" s="1"/>
  <c r="H36" i="12"/>
  <c r="I12" i="12"/>
  <c r="K12" i="12" s="1"/>
  <c r="I52" i="12"/>
  <c r="G52" i="12"/>
  <c r="J52" i="12" s="1"/>
  <c r="J42" i="12"/>
  <c r="J43" i="12" s="1"/>
  <c r="H42" i="12"/>
  <c r="K23" i="12"/>
  <c r="J34" i="12"/>
  <c r="K34" i="12" s="1"/>
  <c r="J33" i="12"/>
  <c r="K33" i="12" s="1"/>
  <c r="H33" i="12"/>
  <c r="I28" i="12"/>
  <c r="G28" i="12"/>
  <c r="H28" i="12" s="1"/>
  <c r="I9" i="12"/>
  <c r="K9" i="12" s="1"/>
  <c r="H27" i="12"/>
  <c r="J27" i="12"/>
  <c r="I43" i="12"/>
  <c r="J18" i="12"/>
  <c r="K18" i="12" s="1"/>
  <c r="K61" i="12"/>
  <c r="K42" i="12"/>
  <c r="J24" i="12"/>
  <c r="J39" i="12"/>
  <c r="K39" i="12" s="1"/>
  <c r="J5" i="12"/>
  <c r="K5" i="12" s="1"/>
  <c r="I40" i="12"/>
  <c r="G40" i="12"/>
  <c r="H40" i="12" s="1"/>
  <c r="J21" i="12"/>
  <c r="K21" i="12" s="1"/>
  <c r="I22" i="12"/>
  <c r="J58" i="12"/>
  <c r="K58" i="12" s="1"/>
  <c r="J57" i="12"/>
  <c r="K57" i="12" s="1"/>
  <c r="I13" i="12"/>
  <c r="K13" i="12" s="1"/>
  <c r="H13" i="12"/>
  <c r="J17" i="12"/>
  <c r="K17" i="12" s="1"/>
  <c r="H14" i="12"/>
  <c r="J14" i="12"/>
  <c r="K14" i="12" s="1"/>
  <c r="G15" i="12"/>
  <c r="H2" i="12"/>
  <c r="J2" i="12"/>
  <c r="G7" i="12"/>
  <c r="H7" i="12" s="1"/>
  <c r="G6" i="12"/>
  <c r="H6" i="12" s="1"/>
  <c r="I31" i="12"/>
  <c r="K31" i="12" s="1"/>
  <c r="D16" i="12"/>
  <c r="I6" i="12"/>
  <c r="I24" i="12"/>
  <c r="I7" i="12"/>
  <c r="G4" i="12"/>
  <c r="H4" i="12" s="1"/>
  <c r="G3" i="12"/>
  <c r="H3" i="12" s="1"/>
  <c r="I4" i="12"/>
  <c r="I3" i="12"/>
  <c r="I2" i="12"/>
  <c r="K2" i="12" s="1"/>
  <c r="D25" i="12"/>
  <c r="K52" i="12" l="1"/>
  <c r="H52" i="12"/>
  <c r="J28" i="12"/>
  <c r="K43" i="12"/>
  <c r="K24" i="12"/>
  <c r="I25" i="12"/>
  <c r="G25" i="12"/>
  <c r="J7" i="12"/>
  <c r="K7" i="12" s="1"/>
  <c r="J6" i="12"/>
  <c r="K6" i="12" s="1"/>
  <c r="J22" i="12"/>
  <c r="K22" i="12" s="1"/>
  <c r="J40" i="12"/>
  <c r="K40" i="12" s="1"/>
  <c r="J4" i="12"/>
  <c r="K4" i="12" s="1"/>
  <c r="I16" i="12"/>
  <c r="G16" i="12"/>
  <c r="J3" i="12"/>
  <c r="K3" i="12" s="1"/>
  <c r="I15" i="12"/>
  <c r="J16" i="12" l="1"/>
  <c r="K16" i="12"/>
  <c r="K15" i="12"/>
  <c r="J25" i="12"/>
  <c r="K25" i="12" s="1"/>
  <c r="H25" i="12"/>
  <c r="J15" i="12"/>
  <c r="H15" i="12"/>
</calcChain>
</file>

<file path=xl/sharedStrings.xml><?xml version="1.0" encoding="utf-8"?>
<sst xmlns="http://schemas.openxmlformats.org/spreadsheetml/2006/main" count="564" uniqueCount="282">
  <si>
    <t>signup_date</t>
  </si>
  <si>
    <t>state</t>
  </si>
  <si>
    <t>age</t>
  </si>
  <si>
    <t>employment_type</t>
  </si>
  <si>
    <t>monthly_income</t>
  </si>
  <si>
    <t>income_consistency</t>
  </si>
  <si>
    <t>customer_id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</si>
  <si>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</si>
  <si>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</si>
  <si>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</si>
  <si>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</si>
  <si>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</si>
  <si>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</si>
  <si>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</si>
  <si>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</si>
  <si>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</si>
  <si>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Lagos</t>
  </si>
  <si>
    <t>Abuja</t>
  </si>
  <si>
    <t>Rivers</t>
  </si>
  <si>
    <t>Kano</t>
  </si>
  <si>
    <t>Oyo</t>
  </si>
  <si>
    <t>Enugu</t>
  </si>
  <si>
    <t>Self-employed</t>
  </si>
  <si>
    <t>Employee</t>
  </si>
  <si>
    <t>Freelancer</t>
  </si>
  <si>
    <t>High</t>
  </si>
  <si>
    <t>Medium</t>
  </si>
  <si>
    <t>Low</t>
  </si>
  <si>
    <t>product</t>
  </si>
  <si>
    <t>requested_amount</t>
  </si>
  <si>
    <t>Salaried</t>
  </si>
  <si>
    <t>account_age_months</t>
  </si>
  <si>
    <t>loan_id</t>
  </si>
  <si>
    <t>application_id</t>
  </si>
  <si>
    <t>disbursement_date</t>
  </si>
  <si>
    <t>principal</t>
  </si>
  <si>
    <t>term_months</t>
  </si>
  <si>
    <t>maturity_date</t>
  </si>
  <si>
    <t>L001</t>
  </si>
  <si>
    <t>A001</t>
  </si>
  <si>
    <t>L002</t>
  </si>
  <si>
    <t>A002</t>
  </si>
  <si>
    <t>L003</t>
  </si>
  <si>
    <t>A003</t>
  </si>
  <si>
    <t>L004</t>
  </si>
  <si>
    <t>A006</t>
  </si>
  <si>
    <t>L005</t>
  </si>
  <si>
    <t>A007</t>
  </si>
  <si>
    <t>L006</t>
  </si>
  <si>
    <t>A008</t>
  </si>
  <si>
    <t>L007</t>
  </si>
  <si>
    <t>A009</t>
  </si>
  <si>
    <t>L008</t>
  </si>
  <si>
    <t>A010</t>
  </si>
  <si>
    <t>C010</t>
  </si>
  <si>
    <t>Business Owner</t>
  </si>
  <si>
    <t>Delta</t>
  </si>
  <si>
    <t>Kaduna</t>
  </si>
  <si>
    <t>Contractor</t>
  </si>
  <si>
    <t>Ogun</t>
  </si>
  <si>
    <t>application_date</t>
  </si>
  <si>
    <t>bureau_score</t>
  </si>
  <si>
    <t>existing_debt_payment</t>
  </si>
  <si>
    <t>proposed_instalment</t>
  </si>
  <si>
    <t>decision</t>
  </si>
  <si>
    <t>accepted_flag</t>
  </si>
  <si>
    <t>Personal Loan</t>
  </si>
  <si>
    <t>Approved</t>
  </si>
  <si>
    <t>Salary Advance</t>
  </si>
  <si>
    <t>A004</t>
  </si>
  <si>
    <t>Business Loan</t>
  </si>
  <si>
    <t>A005</t>
  </si>
  <si>
    <t>A011</t>
  </si>
  <si>
    <t>A012</t>
  </si>
  <si>
    <t>A013</t>
  </si>
  <si>
    <t>A014</t>
  </si>
  <si>
    <t>A015</t>
  </si>
  <si>
    <t>Anambra</t>
  </si>
  <si>
    <t>due_date</t>
  </si>
  <si>
    <t>payment_date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</si>
  <si>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</si>
  <si>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</si>
  <si>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</si>
  <si>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</si>
  <si>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</si>
  <si>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</si>
  <si>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</si>
  <si>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</si>
  <si>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</si>
  <si>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</si>
  <si>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</si>
  <si>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</si>
  <si>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A016</t>
  </si>
  <si>
    <t>A017</t>
  </si>
  <si>
    <t>A018</t>
  </si>
  <si>
    <t>A019</t>
  </si>
  <si>
    <t>A020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</si>
  <si>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</si>
  <si>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</si>
  <si>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</si>
  <si>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</si>
  <si>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</si>
  <si>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</si>
  <si>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</si>
  <si>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</si>
  <si>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</si>
  <si>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</si>
  <si>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inst_no</t>
  </si>
  <si>
    <t>amount_due</t>
  </si>
  <si>
    <t>monthly_ interest_rate</t>
  </si>
  <si>
    <t>total_amount</t>
  </si>
  <si>
    <t>processing_fees</t>
  </si>
  <si>
    <t>Oldest Unpaid Due Date</t>
  </si>
  <si>
    <t>DPD</t>
  </si>
  <si>
    <t>Bucket</t>
  </si>
  <si>
    <t>cumulative_due</t>
  </si>
  <si>
    <t>cumulative_paid</t>
  </si>
  <si>
    <t>Abia</t>
  </si>
  <si>
    <t>Uyo</t>
  </si>
  <si>
    <t>Kwara</t>
  </si>
  <si>
    <t>customer_names</t>
  </si>
  <si>
    <t xml:space="preserve">Solomon Yakubu </t>
  </si>
  <si>
    <t>Aminat Abdul</t>
  </si>
  <si>
    <t>Jabari Woji</t>
  </si>
  <si>
    <t>Usman Hazeem</t>
  </si>
  <si>
    <t>Ademola Adeola</t>
  </si>
  <si>
    <t>Onyekachi Anyanwu</t>
  </si>
  <si>
    <t>Olivia Idu</t>
  </si>
  <si>
    <t>Amarachi Oke</t>
  </si>
  <si>
    <t>Oyin Lekan</t>
  </si>
  <si>
    <t>Ambrose Okafor</t>
  </si>
  <si>
    <t>Grace Nwaji</t>
  </si>
  <si>
    <t>Nsikak Effiong</t>
  </si>
  <si>
    <t>Clinton Onyekwere</t>
  </si>
  <si>
    <t>Zechariah Odo</t>
  </si>
  <si>
    <t>Mubarak Damilola</t>
  </si>
  <si>
    <t>Arinze Onyema</t>
  </si>
  <si>
    <t>Edafe Isoghene</t>
  </si>
  <si>
    <t>Rufai Hamzat</t>
  </si>
  <si>
    <t>Tunde Abiola</t>
  </si>
  <si>
    <t>Clement Orji</t>
  </si>
  <si>
    <t>LO16</t>
  </si>
  <si>
    <t>LO11</t>
  </si>
  <si>
    <t>Null</t>
  </si>
  <si>
    <t>Scenario</t>
  </si>
  <si>
    <t>On-time</t>
  </si>
  <si>
    <t>Late</t>
  </si>
  <si>
    <t>Partial</t>
  </si>
  <si>
    <t>Missed</t>
  </si>
  <si>
    <t>Prepaid</t>
  </si>
  <si>
    <t>Cured</t>
  </si>
  <si>
    <t>Payment_amount</t>
  </si>
  <si>
    <t>outstanding</t>
  </si>
  <si>
    <t>Formula / Rule</t>
  </si>
  <si>
    <t>Implementation</t>
  </si>
  <si>
    <t>Purpose</t>
  </si>
  <si>
    <t>Monthly rate</t>
  </si>
  <si>
    <t>Annual interest rate / 12</t>
  </si>
  <si>
    <t>Converts annual nominal rate to monthly rate.</t>
  </si>
  <si>
    <t>Maturity date</t>
  </si>
  <si>
    <t>EDATE(disbursement date, term_months)</t>
  </si>
  <si>
    <t>Generates contractual maturity date without hard-coding.</t>
  </si>
  <si>
    <t>Instalment due</t>
  </si>
  <si>
    <t>Flat-rate scheduled instalment; processing fee is tracked separately.</t>
  </si>
  <si>
    <t>Cumulative due</t>
  </si>
  <si>
    <t>SUMIFS(amount_due, loan_id, current loan, instalment no &lt;= current)</t>
  </si>
  <si>
    <t>Tracks the contractual amount due up to each instalment.</t>
  </si>
  <si>
    <t>Payments to reporting date</t>
  </si>
  <si>
    <t>SUMIFS(payment_amount, loan_id, current loan, payment_date &lt;= reporting date)</t>
  </si>
  <si>
    <t>Prevents future payments from affecting DPD.</t>
  </si>
  <si>
    <t>FIFO allocation</t>
  </si>
  <si>
    <t>MAX(0, MIN(current amount due, total paid - prior cumulative due))</t>
  </si>
  <si>
    <t>Applies payments to the oldest unpaid instalment first.</t>
  </si>
  <si>
    <t>Arrears</t>
  </si>
  <si>
    <t>MAX(0, cumulative due - cumulative allocated payment)</t>
  </si>
  <si>
    <t>Shows unpaid contractual amount.</t>
  </si>
  <si>
    <t>Oldest unpaid due date</t>
  </si>
  <si>
    <t>MINIFS(due_date where arrears &gt; 0)</t>
  </si>
  <si>
    <t>Identifies the earliest outstanding obligation.</t>
  </si>
  <si>
    <t>MAX(0, reporting date - oldest unpaid due date)</t>
  </si>
  <si>
    <t>Measures days past due; never negative.</t>
  </si>
  <si>
    <t>Current / 1–7 / 8–30 / 31–60 / 61–90 / 90+</t>
  </si>
  <si>
    <t>Standardises delinquency segmentation.</t>
  </si>
  <si>
    <t xml:space="preserve">Principal+ interest+ processing fee/term </t>
  </si>
  <si>
    <t>cumulative_arrears_amount</t>
  </si>
  <si>
    <t>reporting date</t>
  </si>
  <si>
    <t xml:space="preserve">reporting_date </t>
  </si>
  <si>
    <t>Rejected</t>
  </si>
  <si>
    <t>Metric / Field</t>
  </si>
  <si>
    <t>Definition</t>
  </si>
  <si>
    <t>Formula (plain language)</t>
  </si>
  <si>
    <t>Reporting Date</t>
  </si>
  <si>
    <t>The as-of date the whole dashboard is evaluated against. Only payments made on/before this date count as collected; only instalments due on/before this date count as due.</t>
  </si>
  <si>
    <t>Dashboard!C6 (user input)</t>
  </si>
  <si>
    <t>Loans Disbursed</t>
  </si>
  <si>
    <t>Count of loans whose disbursement date is on/before the Reporting Date, within the selected filters.</t>
  </si>
  <si>
    <t>COUNT loans WHERE disbursement_date ≤ Reporting Date AND filters match</t>
  </si>
  <si>
    <t>Active Accounts</t>
  </si>
  <si>
    <t>Loans disbursed by the Reporting Date that still carry an outstanding principal balance greater than zero. Source data has no explicit account-status field, so this is inferred from balance, not a system status flag.</t>
  </si>
  <si>
    <t>COUNT loans WHERE outstanding_principal &gt; 0 AND disbursed</t>
  </si>
  <si>
    <t>Outstanding Principal</t>
  </si>
  <si>
    <t>Principal not yet recovered, estimated pro-rata from cumulative payments received against the loan's total contract value (principal+interest+fees), because the source Installment data gives only a blended instalment amount, not a principal/interest split.</t>
  </si>
  <si>
    <t>Principal × (1 − cumulative allocated payments ÷ total contract amount)</t>
  </si>
  <si>
    <t>Amount Due (to date)</t>
  </si>
  <si>
    <t>Contractual amount that has fallen due as of the Reporting Date (instalments with due_date ≤ Reporting Date), summed across in-scope loans.</t>
  </si>
  <si>
    <t>SUM(amount_due) WHERE due_date ≤ Reporting Date</t>
  </si>
  <si>
    <t>Amount Collected</t>
  </si>
  <si>
    <t>Actual cash received on/before the Reporting Date. Not capped at Amount Due, so it can exceed 100% of due where customers have prepaid.</t>
  </si>
  <si>
    <t>SUM(payment_amount) WHERE payment_date ≤ Reporting Date</t>
  </si>
  <si>
    <t>Collection Rate</t>
  </si>
  <si>
    <t>Amount Collected as a percentage of Amount Due.</t>
  </si>
  <si>
    <t>Amount Collected ÷ Amount Due</t>
  </si>
  <si>
    <t>Arrears (value)</t>
  </si>
  <si>
    <t>Contractual amount due to date that has not yet been covered by payments received.</t>
  </si>
  <si>
    <t>MAX(0, Amount Due to date − Amount Collected to date)</t>
  </si>
  <si>
    <t>The due date of the earliest instalment not yet fully covered by payments, applying FIFO allocation (payments fill the oldest obligation first).</t>
  </si>
  <si>
    <t>MIN(due_date) WHERE that instalment's cumulative due exceeds cumulative payments received</t>
  </si>
  <si>
    <t>DPD (Days Past Due)</t>
  </si>
  <si>
    <t>Days between the Reporting Date and the Oldest Unpaid Due Date; 0 if the loan is fully current.</t>
  </si>
  <si>
    <t>MAX(0, Reporting Date − Oldest Unpaid Due Date)</t>
  </si>
  <si>
    <t>DPD Bucket</t>
  </si>
  <si>
    <t>Standard delinquency segmentation.</t>
  </si>
  <si>
    <t>Current (0) / 1–7 / 8–30 / 31–60 / 61–90 / 90+</t>
  </si>
  <si>
    <t>Origination Month</t>
  </si>
  <si>
    <t>Calendar month of loan disbursement, used to group exposure.</t>
  </si>
  <si>
    <t>TEXT(disbursement_date, "yyyy-mm")</t>
  </si>
  <si>
    <t>Customer Type</t>
  </si>
  <si>
    <t>Proxy for customer segment, taken from the customer's employment_type (Employee / Self-employed / Business Owner / Salaried / Freelancer / Contractor).</t>
  </si>
  <si>
    <t>Data - Customer!employment_type</t>
  </si>
  <si>
    <t>Channel</t>
  </si>
  <si>
    <t>Acquisition channel. Not currently captured in the source Customer extract (documented in the 'Customer Datagrain' tab of the source file but absent from the actual data) — shown as 'Unknown' for every customer until the source system provides it.</t>
  </si>
  <si>
    <t>Data - Customer!channel (placeholder)</t>
  </si>
  <si>
    <t>Product</t>
  </si>
  <si>
    <t>Loan product, carried from the customer's approved Application onto the resulting Loan.</t>
  </si>
  <si>
    <t>Data - Application!product, joined via application_id</t>
  </si>
  <si>
    <t>Total Contract Amount</t>
  </si>
  <si>
    <t>Flat-rate scheduled repayment: principal + (principal × monthly rate × term) + fees. Recalculated rather than trusted from the source 'total_amount' field because one loan (L003) did not reconcile (see Reconciliation tab).</t>
  </si>
  <si>
    <t>Principal + (Principal × Monthly Rate × Term) + Fees</t>
  </si>
  <si>
    <t>Check</t>
  </si>
  <si>
    <t>Source Value</t>
  </si>
  <si>
    <t>Dashboard Value</t>
  </si>
  <si>
    <t>Loan Count</t>
  </si>
  <si>
    <t>Installment Row Count</t>
  </si>
  <si>
    <t>Total principal disbursed</t>
  </si>
  <si>
    <t>Total contract value — flat formula (₦)</t>
  </si>
  <si>
    <t>Sum of all instalment amount_due (₦)</t>
  </si>
  <si>
    <t>Loan Repayment Dashboard</t>
  </si>
  <si>
    <t>Nigerian microfinance loan book — disbursements, collections &amp; delinquency</t>
  </si>
  <si>
    <t>Controls</t>
  </si>
  <si>
    <t>Channel filter: source data does not currently capture acquisition_channel at customer level (see Reconciliation tab) — filter is provided for future use and defaults to 'All'.</t>
  </si>
  <si>
    <t>All</t>
  </si>
  <si>
    <t>Portfolio Snapshot</t>
  </si>
  <si>
    <t>Delinquency by DPD Bucket</t>
  </si>
  <si>
    <t>Loan Count (units)</t>
  </si>
  <si>
    <t>% of Loans</t>
  </si>
  <si>
    <t>Arrears Value (₦)</t>
  </si>
  <si>
    <t>Outstanding Principal at Risk (₦)</t>
  </si>
  <si>
    <t>% of Outstanding Principal</t>
  </si>
  <si>
    <t>Current</t>
  </si>
  <si>
    <t>1-7</t>
  </si>
  <si>
    <t>8-30</t>
  </si>
  <si>
    <t>31-60</t>
  </si>
  <si>
    <t>61-90</t>
  </si>
  <si>
    <t>90+</t>
  </si>
  <si>
    <t>Total</t>
  </si>
  <si>
    <t>Exposure by Product &amp; Origination Month</t>
  </si>
  <si>
    <t>2025-07</t>
  </si>
  <si>
    <t>2025-08</t>
  </si>
  <si>
    <t>2025-09</t>
  </si>
  <si>
    <t>2025-10</t>
  </si>
  <si>
    <t>Values = principal disbursed (₦), filtered by Reporting Date, Product, Channel and Customer Type above.</t>
  </si>
  <si>
    <t>Actions Supported by These Results</t>
  </si>
  <si>
    <t>1. Trigger early collections outreach at first delinquency (1–7 DPD), not just at 90+.</t>
  </si>
  <si>
    <t>Every currently delinquent loan in the book has already crossed 90+ DPD — there is currently no population sitting in the 1–60 day buckets. That means the book's early-warning stage is effectively empty: loans appear to jump straight from Current to severely delinquent, most likely because collections only start once accounts are already very late. Add a structured outreach step (SMS/call) as soon as an instalment is 1–7 days overdue.</t>
  </si>
  <si>
    <t>Owner:</t>
  </si>
  <si>
    <t>Collections Team Lead</t>
  </si>
  <si>
    <t>Monitoring metric:</t>
  </si>
  <si>
    <t>Loan count and ₦ value in the 1–7, 8–30 and 31–60 DPD buckets (Dashboard delinquency table) — review weekly. If this population stays near zero after the process is live, it confirms loans are genuinely cured quickly; if it starts filling and 90+ volume falls, it shows the new step is catching cases before they become severely delinquent.</t>
  </si>
  <si>
    <t>2. Reconcile the 3 loans with missing payment-amount data before reporting collection rate externally.</t>
  </si>
  <si>
    <t>L015, L016 and L018 (₦435,600 of contractual exposure, ~15% of the book) have a payment_date recorded but no payment_amount in the source system, so this dashboard conservatively treats them as ₦0 collected. If payments were in fact received, both Amount Collected and Collection Rate are currently understated, and these three loans are overstated in the 90+ bucket.</t>
  </si>
  <si>
    <t>Data/Systems Analyst (Loan Operations), with sign-off from Finance before external reporting</t>
  </si>
  <si>
    <t>Count of Installment rows with a payment_date but blank payment_amount (Reconciliation tab, issue log row 4) — target zero before each external report; re-check portfolio Collection Rate once fixed.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</si>
</sst>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6" formatCode="yyyy\-mm\-dd"/>
    <numFmt numFmtId="167" formatCode="\₦#,##0"/>
    <numFmt numFmtId="168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"/>
      <color rgb="FFFFFFFF"/>
      <name val="Cambria"/>
      <charset val="1"/>
    </font>
    <font>
      <b/>
      <sz val="20"/>
      <color rgb="FF1F4E78"/>
      <name val="Arial"/>
      <charset val="1"/>
    </font>
    <font>
      <i/>
      <sz val="9"/>
      <color rgb="FF666666"/>
      <name val="Arial"/>
      <charset val="1"/>
    </font>
    <font>
      <b/>
      <sz val="12"/>
      <color rgb="FF1F4E78"/>
      <name val="Arial"/>
      <charset val="1"/>
    </font>
    <font>
      <sz val="10"/>
      <color rgb="FF0000FF"/>
      <name val="Arial"/>
      <charset val="1"/>
    </font>
    <font>
      <b/>
      <sz val="9"/>
      <color rgb="FF1F4E78"/>
      <name val="Arial"/>
      <charset val="1"/>
    </font>
    <font>
      <b/>
      <sz val="16"/>
      <color rgb="FF1F4E78"/>
      <name val="Arial"/>
      <charset val="1"/>
    </font>
    <font>
      <i/>
      <sz val="8"/>
      <color rgb="FF666666"/>
      <name val="Arial"/>
      <charset val="1"/>
    </font>
    <font>
      <b/>
      <sz val="10"/>
      <color rgb="FF1F4E78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FFFDE7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FFDE7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9" fontId="0" fillId="0" borderId="0" xfId="1" applyFont="1" applyAlignment="1">
      <alignment vertical="center" wrapText="1"/>
    </xf>
    <xf numFmtId="14" fontId="0" fillId="0" borderId="0" xfId="0" applyNumberFormat="1" applyAlignment="1"/>
    <xf numFmtId="0" fontId="1" fillId="0" borderId="0" xfId="0" applyFont="1"/>
    <xf numFmtId="164" fontId="0" fillId="0" borderId="0" xfId="2" applyNumberFormat="1" applyFont="1" applyAlignment="1">
      <alignment vertical="center" wrapText="1"/>
    </xf>
    <xf numFmtId="164" fontId="0" fillId="0" borderId="0" xfId="2" applyNumberFormat="1" applyFont="1" applyAlignment="1">
      <alignment wrapText="1"/>
    </xf>
    <xf numFmtId="164" fontId="0" fillId="0" borderId="0" xfId="2" applyNumberFormat="1" applyFont="1" applyAlignment="1">
      <alignment vertical="center"/>
    </xf>
    <xf numFmtId="164" fontId="0" fillId="0" borderId="0" xfId="2" applyNumberFormat="1" applyFont="1" applyAlignment="1"/>
    <xf numFmtId="164" fontId="0" fillId="0" borderId="0" xfId="2" applyNumberFormat="1" applyFont="1" applyAlignment="1">
      <alignment horizontal="right" vertical="center"/>
    </xf>
    <xf numFmtId="0" fontId="0" fillId="0" borderId="0" xfId="0" applyFill="1" applyAlignment="1">
      <alignment vertical="center"/>
    </xf>
    <xf numFmtId="164" fontId="0" fillId="0" borderId="0" xfId="2" applyNumberFormat="1" applyFont="1" applyFill="1" applyAlignment="1">
      <alignment horizontal="right" vertical="center"/>
    </xf>
    <xf numFmtId="164" fontId="0" fillId="0" borderId="0" xfId="2" applyNumberFormat="1" applyFont="1" applyFill="1" applyAlignment="1"/>
    <xf numFmtId="14" fontId="0" fillId="0" borderId="0" xfId="0" applyNumberFormat="1"/>
    <xf numFmtId="164" fontId="0" fillId="0" borderId="0" xfId="0" applyNumberFormat="1" applyAlignment="1"/>
    <xf numFmtId="14" fontId="0" fillId="0" borderId="1" xfId="0" applyNumberFormat="1" applyBorder="1"/>
    <xf numFmtId="0" fontId="3" fillId="2" borderId="0" xfId="0" applyFont="1" applyFill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64" fontId="3" fillId="2" borderId="0" xfId="2" applyNumberFormat="1" applyFont="1" applyFill="1" applyAlignment="1">
      <alignment horizontal="right" vertical="center"/>
    </xf>
    <xf numFmtId="0" fontId="4" fillId="2" borderId="0" xfId="0" applyFont="1" applyFill="1"/>
    <xf numFmtId="0" fontId="4" fillId="2" borderId="0" xfId="0" applyFont="1" applyFill="1" applyAlignment="1"/>
    <xf numFmtId="164" fontId="3" fillId="2" borderId="0" xfId="2" applyNumberFormat="1" applyFont="1" applyFill="1" applyAlignment="1"/>
    <xf numFmtId="0" fontId="3" fillId="2" borderId="0" xfId="0" applyFont="1" applyFill="1" applyAlignment="1"/>
    <xf numFmtId="0" fontId="3" fillId="2" borderId="0" xfId="0" applyFont="1" applyFill="1"/>
    <xf numFmtId="164" fontId="0" fillId="0" borderId="0" xfId="2" applyNumberFormat="1" applyFont="1"/>
    <xf numFmtId="0" fontId="3" fillId="2" borderId="0" xfId="0" applyFont="1" applyFill="1" applyAlignment="1">
      <alignment horizontal="center" vertical="center" wrapText="1"/>
    </xf>
    <xf numFmtId="164" fontId="3" fillId="2" borderId="0" xfId="2" applyNumberFormat="1" applyFont="1" applyFill="1" applyAlignment="1">
      <alignment horizontal="center" vertical="center" wrapText="1"/>
    </xf>
    <xf numFmtId="164" fontId="3" fillId="2" borderId="0" xfId="2" applyNumberFormat="1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" fontId="3" fillId="2" borderId="0" xfId="0" applyNumberFormat="1" applyFont="1" applyFill="1"/>
    <xf numFmtId="1" fontId="0" fillId="0" borderId="0" xfId="0" applyNumberFormat="1"/>
    <xf numFmtId="164" fontId="4" fillId="2" borderId="0" xfId="2" applyNumberFormat="1" applyFont="1" applyFill="1" applyAlignment="1"/>
    <xf numFmtId="0" fontId="0" fillId="0" borderId="0" xfId="0" applyNumberFormat="1"/>
    <xf numFmtId="14" fontId="3" fillId="2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 applyProtection="1">
      <alignment horizontal="left" wrapText="1"/>
    </xf>
    <xf numFmtId="0" fontId="6" fillId="0" borderId="1" xfId="0" applyFont="1" applyBorder="1" applyAlignment="1" applyProtection="1"/>
    <xf numFmtId="0" fontId="7" fillId="0" borderId="1" xfId="0" applyFont="1" applyBorder="1" applyAlignment="1" applyProtection="1">
      <alignment horizontal="left" wrapText="1"/>
    </xf>
    <xf numFmtId="0" fontId="5" fillId="3" borderId="1" xfId="0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 wrapText="1"/>
    </xf>
    <xf numFmtId="0" fontId="7" fillId="0" borderId="1" xfId="0" applyFont="1" applyBorder="1" applyAlignment="1" applyProtection="1">
      <alignment wrapText="1"/>
    </xf>
    <xf numFmtId="0" fontId="0" fillId="0" borderId="0" xfId="0" applyAlignment="1">
      <alignment horizontal="left" wrapText="1"/>
    </xf>
    <xf numFmtId="0" fontId="0" fillId="0" borderId="0" xfId="0" applyAlignment="1" applyProtection="1"/>
    <xf numFmtId="0" fontId="8" fillId="0" borderId="0" xfId="0" applyFont="1" applyAlignment="1" applyProtection="1"/>
    <xf numFmtId="0" fontId="9" fillId="0" borderId="0" xfId="0" applyFont="1" applyAlignment="1" applyProtection="1"/>
    <xf numFmtId="0" fontId="10" fillId="0" borderId="0" xfId="0" applyFont="1" applyAlignment="1" applyProtection="1"/>
    <xf numFmtId="0" fontId="11" fillId="0" borderId="0" xfId="0" applyFont="1" applyAlignment="1" applyProtection="1"/>
    <xf numFmtId="0" fontId="6" fillId="0" borderId="0" xfId="0" applyFont="1" applyAlignment="1" applyProtection="1"/>
    <xf numFmtId="166" fontId="12" fillId="4" borderId="1" xfId="0" applyNumberFormat="1" applyFont="1" applyFill="1" applyBorder="1" applyAlignment="1" applyProtection="1"/>
    <xf numFmtId="0" fontId="10" fillId="0" borderId="0" xfId="0" applyFont="1" applyBorder="1" applyAlignment="1" applyProtection="1">
      <alignment vertical="top" wrapText="1"/>
    </xf>
    <xf numFmtId="0" fontId="12" fillId="4" borderId="1" xfId="0" applyFont="1" applyFill="1" applyBorder="1" applyAlignment="1" applyProtection="1"/>
    <xf numFmtId="0" fontId="13" fillId="5" borderId="1" xfId="0" applyFont="1" applyFill="1" applyBorder="1" applyAlignment="1" applyProtection="1">
      <alignment horizontal="center"/>
    </xf>
    <xf numFmtId="1" fontId="14" fillId="6" borderId="1" xfId="0" applyNumberFormat="1" applyFont="1" applyFill="1" applyBorder="1" applyAlignment="1" applyProtection="1">
      <alignment horizontal="center" vertical="center"/>
    </xf>
    <xf numFmtId="167" fontId="14" fillId="6" borderId="1" xfId="0" applyNumberFormat="1" applyFont="1" applyFill="1" applyBorder="1" applyAlignment="1" applyProtection="1">
      <alignment horizontal="center" vertical="center"/>
    </xf>
    <xf numFmtId="168" fontId="14" fillId="7" borderId="1" xfId="0" applyNumberFormat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/>
    <xf numFmtId="0" fontId="7" fillId="0" borderId="1" xfId="0" applyFont="1" applyBorder="1" applyAlignment="1" applyProtection="1">
      <alignment horizontal="center"/>
    </xf>
    <xf numFmtId="168" fontId="7" fillId="0" borderId="1" xfId="0" applyNumberFormat="1" applyFont="1" applyBorder="1" applyAlignment="1" applyProtection="1"/>
    <xf numFmtId="167" fontId="7" fillId="0" borderId="1" xfId="0" applyNumberFormat="1" applyFont="1" applyBorder="1" applyAlignment="1" applyProtection="1"/>
    <xf numFmtId="0" fontId="7" fillId="8" borderId="1" xfId="0" applyFont="1" applyFill="1" applyBorder="1" applyAlignment="1" applyProtection="1"/>
    <xf numFmtId="0" fontId="7" fillId="8" borderId="1" xfId="0" applyFont="1" applyFill="1" applyBorder="1" applyAlignment="1" applyProtection="1">
      <alignment horizontal="center"/>
    </xf>
    <xf numFmtId="168" fontId="7" fillId="8" borderId="1" xfId="0" applyNumberFormat="1" applyFont="1" applyFill="1" applyBorder="1" applyAlignment="1" applyProtection="1"/>
    <xf numFmtId="167" fontId="7" fillId="8" borderId="1" xfId="0" applyNumberFormat="1" applyFont="1" applyFill="1" applyBorder="1" applyAlignment="1" applyProtection="1"/>
    <xf numFmtId="0" fontId="6" fillId="5" borderId="1" xfId="0" applyFont="1" applyFill="1" applyBorder="1" applyAlignment="1" applyProtection="1"/>
    <xf numFmtId="168" fontId="6" fillId="5" borderId="1" xfId="0" applyNumberFormat="1" applyFont="1" applyFill="1" applyBorder="1" applyAlignment="1" applyProtection="1"/>
    <xf numFmtId="167" fontId="6" fillId="5" borderId="1" xfId="0" applyNumberFormat="1" applyFont="1" applyFill="1" applyBorder="1" applyAlignment="1" applyProtection="1"/>
    <xf numFmtId="167" fontId="6" fillId="0" borderId="1" xfId="0" applyNumberFormat="1" applyFont="1" applyBorder="1" applyAlignment="1" applyProtection="1"/>
    <xf numFmtId="0" fontId="15" fillId="0" borderId="0" xfId="0" applyFont="1" applyAlignment="1" applyProtection="1"/>
    <xf numFmtId="0" fontId="6" fillId="0" borderId="0" xfId="0" applyFont="1" applyBorder="1" applyAlignment="1" applyProtection="1">
      <alignment wrapText="1"/>
    </xf>
    <xf numFmtId="0" fontId="7" fillId="0" borderId="0" xfId="0" applyFont="1" applyBorder="1" applyAlignment="1" applyProtection="1">
      <alignment vertical="top" wrapText="1"/>
    </xf>
    <xf numFmtId="0" fontId="16" fillId="0" borderId="0" xfId="0" applyFont="1" applyAlignment="1" applyProtection="1"/>
    <xf numFmtId="0" fontId="16" fillId="0" borderId="0" xfId="0" applyFont="1" applyAlignment="1" applyProtection="1">
      <alignment wrapText="1"/>
    </xf>
    <xf numFmtId="0" fontId="7" fillId="0" borderId="0" xfId="0" applyFont="1" applyAlignment="1" applyProtection="1">
      <alignment vertical="top" wrapText="1"/>
    </xf>
  </cellXfs>
  <cellStyles count="3">
    <cellStyle name="Comma" xfId="2" builtinId="3"/>
    <cellStyle name="Normal" xfId="0" builtinId="0"/>
    <cellStyle name="Percent" xfId="1" builtinId="5"/>
  </cellStyles>
  <dxfs count="13">
    <dxf>
      <numFmt numFmtId="0" formatCode="General"/>
    </dxf>
    <dxf>
      <numFmt numFmtId="1" formatCode="0"/>
    </dxf>
    <dxf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9" formatCode="yyyy/mm/dd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9" formatCode="yyyy/mm/dd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Loan Count by DPD Bucket (units) — as of Reporting Date (cell C6 above)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[1]Dashboard!$C$19</c:f>
              <c:strCache>
                <c:ptCount val="1"/>
                <c:pt idx="0">
                  <c:v>Loan Count (units)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[1]Dashboard!$B$20:$B$25</c:f>
              <c:strCache>
                <c:ptCount val="6"/>
                <c:pt idx="0">
                  <c:v>Current</c:v>
                </c:pt>
                <c:pt idx="1">
                  <c:v>1-7</c:v>
                </c:pt>
                <c:pt idx="2">
                  <c:v>8-30</c:v>
                </c:pt>
                <c:pt idx="3">
                  <c:v>31-60</c:v>
                </c:pt>
                <c:pt idx="4">
                  <c:v>61-90</c:v>
                </c:pt>
                <c:pt idx="5">
                  <c:v>90+</c:v>
                </c:pt>
              </c:strCache>
            </c:strRef>
          </c:cat>
          <c:val>
            <c:numRef>
              <c:f>[1]Dashboard!$C$20:$C$25</c:f>
              <c:numCache>
                <c:formatCode>General</c:formatCode>
                <c:ptCount val="6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125320"/>
        <c:axId val="356125712"/>
      </c:barChart>
      <c:catAx>
        <c:axId val="356125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DPD bucket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125712"/>
        <c:crosses val="autoZero"/>
        <c:auto val="1"/>
        <c:lblAlgn val="ctr"/>
        <c:lblOffset val="100"/>
        <c:noMultiLvlLbl val="0"/>
      </c:catAx>
      <c:valAx>
        <c:axId val="3561257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loans (count)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1253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Principal Disbursed by Product &amp; Origination Month (₦ Naira) — as of Reporting Date (cell C6 above)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[1]Dashboard!$C$29</c:f>
              <c:strCache>
                <c:ptCount val="1"/>
                <c:pt idx="0">
                  <c:v>Business Loan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[1]Dashboard!$B$30:$B$33</c:f>
              <c:strCache>
                <c:ptCount val="4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</c:strCache>
            </c:strRef>
          </c:cat>
          <c:val>
            <c:numRef>
              <c:f>[1]Dashboard!$C$30:$C$33</c:f>
              <c:numCache>
                <c:formatCode>\₦#,##0</c:formatCode>
                <c:ptCount val="4"/>
                <c:pt idx="0">
                  <c:v>530000</c:v>
                </c:pt>
                <c:pt idx="1">
                  <c:v>0</c:v>
                </c:pt>
                <c:pt idx="2">
                  <c:v>110000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[1]Dashboard!$D$29</c:f>
              <c:strCache>
                <c:ptCount val="1"/>
                <c:pt idx="0">
                  <c:v>Personal Loan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[1]Dashboard!$B$30:$B$33</c:f>
              <c:strCache>
                <c:ptCount val="4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</c:strCache>
            </c:strRef>
          </c:cat>
          <c:val>
            <c:numRef>
              <c:f>[1]Dashboard!$D$30:$D$33</c:f>
              <c:numCache>
                <c:formatCode>\₦#,##0</c:formatCode>
                <c:ptCount val="4"/>
                <c:pt idx="0">
                  <c:v>935000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[1]Dashboard!$E$29</c:f>
              <c:strCache>
                <c:ptCount val="1"/>
                <c:pt idx="0">
                  <c:v>Salary Advance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[1]Dashboard!$B$30:$B$33</c:f>
              <c:strCache>
                <c:ptCount val="4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</c:strCache>
            </c:strRef>
          </c:cat>
          <c:val>
            <c:numRef>
              <c:f>[1]Dashboard!$E$30:$E$33</c:f>
              <c:numCache>
                <c:formatCode>\₦#,##0</c:formatCode>
                <c:ptCount val="4"/>
                <c:pt idx="0">
                  <c:v>430000</c:v>
                </c:pt>
                <c:pt idx="1">
                  <c:v>70000</c:v>
                </c:pt>
                <c:pt idx="2">
                  <c:v>0</c:v>
                </c:pt>
                <c:pt idx="3">
                  <c:v>130000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6127280"/>
        <c:axId val="356128848"/>
      </c:barChart>
      <c:catAx>
        <c:axId val="3561272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Origination 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128848"/>
        <c:crosses val="autoZero"/>
        <c:auto val="1"/>
        <c:lblAlgn val="ctr"/>
        <c:lblOffset val="100"/>
        <c:noMultiLvlLbl val="0"/>
      </c:catAx>
      <c:valAx>
        <c:axId val="3561288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Principal disbursed (₦ Naira)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₦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1272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18</xdr:row>
      <xdr:rowOff>0</xdr:rowOff>
    </xdr:from>
    <xdr:to>
      <xdr:col>13</xdr:col>
      <xdr:colOff>61880</xdr:colOff>
      <xdr:row>32</xdr:row>
      <xdr:rowOff>111280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61880</xdr:colOff>
      <xdr:row>42</xdr:row>
      <xdr:rowOff>111130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yanwune%20chekwube/Downloads/project_01_loan_repayment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Metric Definitions"/>
      <sheetName val="Reconciliation"/>
      <sheetName val="Data - Customer"/>
      <sheetName val="Data - Application"/>
      <sheetName val="Data - Loan"/>
      <sheetName val="Data - Installment"/>
      <sheetName val="Calc - Installment"/>
      <sheetName val="Calc - Loan Summary"/>
    </sheetNames>
    <sheetDataSet>
      <sheetData sheetId="0">
        <row r="19">
          <cell r="C19" t="str">
            <v>Loan Count (units)</v>
          </cell>
        </row>
        <row r="20">
          <cell r="B20" t="str">
            <v>Current</v>
          </cell>
          <cell r="C20">
            <v>11</v>
          </cell>
        </row>
        <row r="21">
          <cell r="B21" t="str">
            <v>1-7</v>
          </cell>
          <cell r="C21">
            <v>0</v>
          </cell>
        </row>
        <row r="22">
          <cell r="B22" t="str">
            <v>8-30</v>
          </cell>
          <cell r="C22">
            <v>0</v>
          </cell>
        </row>
        <row r="23">
          <cell r="B23" t="str">
            <v>31-60</v>
          </cell>
          <cell r="C23">
            <v>0</v>
          </cell>
        </row>
        <row r="24">
          <cell r="B24" t="str">
            <v>61-90</v>
          </cell>
          <cell r="C24">
            <v>0</v>
          </cell>
        </row>
        <row r="25">
          <cell r="B25" t="str">
            <v>90+</v>
          </cell>
          <cell r="C25">
            <v>9</v>
          </cell>
        </row>
        <row r="29">
          <cell r="C29" t="str">
            <v>Business Loan</v>
          </cell>
          <cell r="D29" t="str">
            <v>Personal Loan</v>
          </cell>
          <cell r="E29" t="str">
            <v>Salary Advance</v>
          </cell>
        </row>
        <row r="30">
          <cell r="B30" t="str">
            <v>2025-07</v>
          </cell>
          <cell r="C30">
            <v>530000</v>
          </cell>
          <cell r="D30">
            <v>935000</v>
          </cell>
          <cell r="E30">
            <v>430000</v>
          </cell>
        </row>
        <row r="31">
          <cell r="B31" t="str">
            <v>2025-08</v>
          </cell>
          <cell r="C31">
            <v>0</v>
          </cell>
          <cell r="D31">
            <v>0</v>
          </cell>
          <cell r="E31">
            <v>70000</v>
          </cell>
        </row>
        <row r="32">
          <cell r="B32" t="str">
            <v>2025-09</v>
          </cell>
          <cell r="C32">
            <v>110000</v>
          </cell>
          <cell r="D32">
            <v>0</v>
          </cell>
          <cell r="E32">
            <v>0</v>
          </cell>
        </row>
        <row r="33">
          <cell r="B33" t="str">
            <v>2025-10</v>
          </cell>
          <cell r="C33">
            <v>0</v>
          </cell>
          <cell r="D33">
            <v>0</v>
          </cell>
          <cell r="E33">
            <v>130000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C5" t="str">
            <v>Personal Loan</v>
          </cell>
          <cell r="D5" t="str">
            <v>Unknown</v>
          </cell>
          <cell r="E5" t="str">
            <v>Employee</v>
          </cell>
          <cell r="G5" t="str">
            <v>2025-07</v>
          </cell>
          <cell r="H5">
            <v>50000</v>
          </cell>
          <cell r="J5">
            <v>1</v>
          </cell>
          <cell r="M5">
            <v>0</v>
          </cell>
          <cell r="O5">
            <v>0</v>
          </cell>
          <cell r="R5" t="str">
            <v>Current</v>
          </cell>
        </row>
        <row r="6">
          <cell r="C6" t="str">
            <v>Salary Advance</v>
          </cell>
          <cell r="D6" t="str">
            <v>Unknown</v>
          </cell>
          <cell r="E6" t="str">
            <v>Self-employed</v>
          </cell>
          <cell r="G6" t="str">
            <v>2025-08</v>
          </cell>
          <cell r="H6">
            <v>70000</v>
          </cell>
          <cell r="J6">
            <v>1</v>
          </cell>
          <cell r="M6">
            <v>0</v>
          </cell>
          <cell r="O6">
            <v>8.5487172896137054E-11</v>
          </cell>
          <cell r="R6" t="str">
            <v>Current</v>
          </cell>
        </row>
        <row r="7">
          <cell r="C7" t="str">
            <v>Personal Loan</v>
          </cell>
          <cell r="D7" t="str">
            <v>Unknown</v>
          </cell>
          <cell r="E7" t="str">
            <v>Business Owner</v>
          </cell>
          <cell r="G7" t="str">
            <v>2025-07</v>
          </cell>
          <cell r="H7">
            <v>90000</v>
          </cell>
          <cell r="J7">
            <v>1</v>
          </cell>
          <cell r="M7">
            <v>61000.000000000102</v>
          </cell>
          <cell r="O7">
            <v>57607.003891050575</v>
          </cell>
          <cell r="R7" t="str">
            <v>90+</v>
          </cell>
        </row>
        <row r="8">
          <cell r="C8" t="str">
            <v>Business Loan</v>
          </cell>
          <cell r="D8" t="str">
            <v>Unknown</v>
          </cell>
          <cell r="E8" t="str">
            <v>Salaried</v>
          </cell>
          <cell r="G8" t="str">
            <v>2025-09</v>
          </cell>
          <cell r="H8">
            <v>110000</v>
          </cell>
          <cell r="J8">
            <v>1</v>
          </cell>
          <cell r="M8">
            <v>126200.0000000001</v>
          </cell>
          <cell r="O8">
            <v>110000</v>
          </cell>
          <cell r="R8" t="str">
            <v>90+</v>
          </cell>
        </row>
        <row r="9">
          <cell r="C9" t="str">
            <v>Salary Advance</v>
          </cell>
          <cell r="D9" t="str">
            <v>Unknown</v>
          </cell>
          <cell r="E9" t="str">
            <v>Freelancer</v>
          </cell>
          <cell r="G9" t="str">
            <v>2025-10</v>
          </cell>
          <cell r="H9">
            <v>130000</v>
          </cell>
          <cell r="J9">
            <v>1</v>
          </cell>
          <cell r="M9">
            <v>0</v>
          </cell>
          <cell r="O9">
            <v>1.0103029524088925E-10</v>
          </cell>
          <cell r="R9" t="str">
            <v>Current</v>
          </cell>
        </row>
        <row r="10">
          <cell r="C10" t="str">
            <v>Business Loan</v>
          </cell>
          <cell r="D10" t="str">
            <v>Unknown</v>
          </cell>
          <cell r="E10" t="str">
            <v>Business Owner</v>
          </cell>
          <cell r="G10" t="str">
            <v>2025-07</v>
          </cell>
          <cell r="H10">
            <v>150000</v>
          </cell>
          <cell r="J10">
            <v>1</v>
          </cell>
          <cell r="M10">
            <v>4.0745362639427185E-10</v>
          </cell>
          <cell r="O10">
            <v>2.4980018054066022E-10</v>
          </cell>
          <cell r="R10" t="str">
            <v>90+</v>
          </cell>
        </row>
        <row r="11">
          <cell r="C11" t="str">
            <v>Personal Loan</v>
          </cell>
          <cell r="D11" t="str">
            <v>Unknown</v>
          </cell>
          <cell r="E11" t="str">
            <v>Employee</v>
          </cell>
          <cell r="G11" t="str">
            <v>2025-07</v>
          </cell>
          <cell r="H11">
            <v>170000</v>
          </cell>
          <cell r="J11">
            <v>1</v>
          </cell>
          <cell r="M11">
            <v>0</v>
          </cell>
          <cell r="O11">
            <v>0</v>
          </cell>
          <cell r="R11" t="str">
            <v>Current</v>
          </cell>
        </row>
        <row r="12">
          <cell r="C12" t="str">
            <v>Business Loan</v>
          </cell>
          <cell r="D12" t="str">
            <v>Unknown</v>
          </cell>
          <cell r="E12" t="str">
            <v>Contractor</v>
          </cell>
          <cell r="G12" t="str">
            <v>2025-07</v>
          </cell>
          <cell r="H12">
            <v>60000</v>
          </cell>
          <cell r="J12">
            <v>1</v>
          </cell>
          <cell r="M12">
            <v>0</v>
          </cell>
          <cell r="O12">
            <v>8.659739592076221E-11</v>
          </cell>
          <cell r="R12" t="str">
            <v>Current</v>
          </cell>
        </row>
        <row r="13">
          <cell r="C13" t="str">
            <v>Salary Advance</v>
          </cell>
          <cell r="D13" t="str">
            <v>Unknown</v>
          </cell>
          <cell r="E13" t="str">
            <v>Self-employed</v>
          </cell>
          <cell r="G13" t="str">
            <v>2025-07</v>
          </cell>
          <cell r="H13">
            <v>80000</v>
          </cell>
          <cell r="J13">
            <v>1</v>
          </cell>
          <cell r="M13">
            <v>49066.666666666599</v>
          </cell>
          <cell r="O13">
            <v>42852.983988355205</v>
          </cell>
          <cell r="R13" t="str">
            <v>90+</v>
          </cell>
        </row>
        <row r="14">
          <cell r="C14" t="str">
            <v>Personal Loan</v>
          </cell>
          <cell r="D14" t="str">
            <v>Unknown</v>
          </cell>
          <cell r="E14" t="str">
            <v>Employee</v>
          </cell>
          <cell r="G14" t="str">
            <v>2025-07</v>
          </cell>
          <cell r="H14">
            <v>100000</v>
          </cell>
          <cell r="J14">
            <v>1</v>
          </cell>
          <cell r="M14">
            <v>114999.9999999999</v>
          </cell>
          <cell r="O14">
            <v>100000</v>
          </cell>
          <cell r="R14" t="str">
            <v>90+</v>
          </cell>
        </row>
        <row r="15">
          <cell r="C15" t="str">
            <v>Salary Advance</v>
          </cell>
          <cell r="D15" t="str">
            <v>Unknown</v>
          </cell>
          <cell r="E15" t="str">
            <v>Employee</v>
          </cell>
          <cell r="G15" t="str">
            <v>2025-07</v>
          </cell>
          <cell r="H15">
            <v>120000</v>
          </cell>
          <cell r="J15">
            <v>1</v>
          </cell>
          <cell r="M15">
            <v>0</v>
          </cell>
          <cell r="O15">
            <v>0</v>
          </cell>
          <cell r="R15" t="str">
            <v>Current</v>
          </cell>
        </row>
        <row r="16">
          <cell r="C16" t="str">
            <v>Business Loan</v>
          </cell>
          <cell r="D16" t="str">
            <v>Unknown</v>
          </cell>
          <cell r="E16" t="str">
            <v>Self-employed</v>
          </cell>
          <cell r="G16" t="str">
            <v>2025-07</v>
          </cell>
          <cell r="H16">
            <v>140000</v>
          </cell>
          <cell r="J16">
            <v>1</v>
          </cell>
          <cell r="M16">
            <v>4.0745362639427185E-10</v>
          </cell>
          <cell r="O16">
            <v>2.4868995751603507E-10</v>
          </cell>
          <cell r="R16" t="str">
            <v>90+</v>
          </cell>
        </row>
        <row r="17">
          <cell r="C17" t="str">
            <v>Personal Loan</v>
          </cell>
          <cell r="D17" t="str">
            <v>Unknown</v>
          </cell>
          <cell r="E17" t="str">
            <v>Business Owner</v>
          </cell>
          <cell r="G17" t="str">
            <v>2025-07</v>
          </cell>
          <cell r="H17">
            <v>160000</v>
          </cell>
          <cell r="J17">
            <v>1</v>
          </cell>
          <cell r="M17">
            <v>0</v>
          </cell>
          <cell r="O17">
            <v>0</v>
          </cell>
          <cell r="R17" t="str">
            <v>Current</v>
          </cell>
        </row>
        <row r="18">
          <cell r="C18" t="str">
            <v>Salary Advance</v>
          </cell>
          <cell r="D18" t="str">
            <v>Unknown</v>
          </cell>
          <cell r="E18" t="str">
            <v>Employee</v>
          </cell>
          <cell r="G18" t="str">
            <v>2025-07</v>
          </cell>
          <cell r="H18">
            <v>180000</v>
          </cell>
          <cell r="J18">
            <v>1</v>
          </cell>
          <cell r="M18">
            <v>0</v>
          </cell>
          <cell r="O18">
            <v>0</v>
          </cell>
          <cell r="R18" t="str">
            <v>Current</v>
          </cell>
        </row>
        <row r="19">
          <cell r="C19" t="str">
            <v>Personal Loan</v>
          </cell>
          <cell r="D19" t="str">
            <v>Unknown</v>
          </cell>
          <cell r="E19" t="str">
            <v>Freelancer</v>
          </cell>
          <cell r="G19" t="str">
            <v>2025-07</v>
          </cell>
          <cell r="H19">
            <v>200000</v>
          </cell>
          <cell r="J19">
            <v>1</v>
          </cell>
          <cell r="M19">
            <v>228999.99999999988</v>
          </cell>
          <cell r="O19">
            <v>200000</v>
          </cell>
          <cell r="R19" t="str">
            <v>90+</v>
          </cell>
        </row>
        <row r="20">
          <cell r="C20" t="str">
            <v>Business Loan</v>
          </cell>
          <cell r="D20" t="str">
            <v>Unknown</v>
          </cell>
          <cell r="E20" t="str">
            <v>Business Owner</v>
          </cell>
          <cell r="G20" t="str">
            <v>2025-07</v>
          </cell>
          <cell r="H20">
            <v>70000</v>
          </cell>
          <cell r="J20">
            <v>1</v>
          </cell>
          <cell r="M20">
            <v>80400</v>
          </cell>
          <cell r="O20">
            <v>70000</v>
          </cell>
          <cell r="R20" t="str">
            <v>90+</v>
          </cell>
        </row>
        <row r="21">
          <cell r="C21" t="str">
            <v>Personal Loan</v>
          </cell>
          <cell r="D21" t="str">
            <v>Unknown</v>
          </cell>
          <cell r="E21" t="str">
            <v>Employee</v>
          </cell>
          <cell r="G21" t="str">
            <v>2025-07</v>
          </cell>
          <cell r="H21">
            <v>90000</v>
          </cell>
          <cell r="J21">
            <v>1</v>
          </cell>
          <cell r="M21">
            <v>0</v>
          </cell>
          <cell r="O21">
            <v>0</v>
          </cell>
          <cell r="R21" t="str">
            <v>Current</v>
          </cell>
        </row>
        <row r="22">
          <cell r="C22" t="str">
            <v>Business Loan</v>
          </cell>
          <cell r="D22" t="str">
            <v>Unknown</v>
          </cell>
          <cell r="E22" t="str">
            <v>Contractor</v>
          </cell>
          <cell r="G22" t="str">
            <v>2025-07</v>
          </cell>
          <cell r="H22">
            <v>110000</v>
          </cell>
          <cell r="J22">
            <v>1</v>
          </cell>
          <cell r="M22">
            <v>126200.0000000001</v>
          </cell>
          <cell r="O22">
            <v>110000</v>
          </cell>
          <cell r="R22" t="str">
            <v>90+</v>
          </cell>
        </row>
        <row r="23">
          <cell r="C23" t="str">
            <v>Salary Advance</v>
          </cell>
          <cell r="D23" t="str">
            <v>Unknown</v>
          </cell>
          <cell r="E23" t="str">
            <v>Employee</v>
          </cell>
          <cell r="G23" t="str">
            <v>2025-07</v>
          </cell>
          <cell r="H23">
            <v>50000</v>
          </cell>
          <cell r="J23">
            <v>1</v>
          </cell>
          <cell r="M23">
            <v>0</v>
          </cell>
          <cell r="O23">
            <v>0</v>
          </cell>
          <cell r="R23" t="str">
            <v>Current</v>
          </cell>
        </row>
        <row r="24">
          <cell r="C24" t="str">
            <v>Personal Loan</v>
          </cell>
          <cell r="D24" t="str">
            <v>Unknown</v>
          </cell>
          <cell r="E24" t="str">
            <v>Employee</v>
          </cell>
          <cell r="G24" t="str">
            <v>2025-07</v>
          </cell>
          <cell r="H24">
            <v>75000</v>
          </cell>
          <cell r="J24">
            <v>1</v>
          </cell>
          <cell r="M24">
            <v>0</v>
          </cell>
          <cell r="O24">
            <v>9.1593399531575415E-11</v>
          </cell>
          <cell r="R24" t="str">
            <v>Current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1" displayName="Table1" ref="A1:O64" totalsRowShown="0">
  <tableColumns count="15">
    <tableColumn id="1" name="loan_id" dataDxfId="12"/>
    <tableColumn id="2" name="inst_no" dataDxfId="11"/>
    <tableColumn id="3" name="due_date" dataDxfId="10"/>
    <tableColumn id="4" name="amount_due" dataDxfId="9" dataCellStyle="Comma"/>
    <tableColumn id="5" name="payment_date" dataDxfId="8"/>
    <tableColumn id="6" name="Scenario"/>
    <tableColumn id="7" name="Payment_amount" dataDxfId="7" dataCellStyle="Comma"/>
    <tableColumn id="8" name="outstanding" dataDxfId="6" dataCellStyle="Comma"/>
    <tableColumn id="9" name="cumulative_due" dataDxfId="5" dataCellStyle="Comma"/>
    <tableColumn id="10" name="cumulative_paid" dataDxfId="4" dataCellStyle="Comma"/>
    <tableColumn id="11" name="cumulative_arrears_amount" dataDxfId="3" dataCellStyle="Comma"/>
    <tableColumn id="12" name="Oldest Unpaid Due Date" dataDxfId="2"/>
    <tableColumn id="13" name="DPD" dataDxfId="1">
      <calculatedColumnFormula>MAX(0,L43-Table1[[#This Row],[due_date]])</calculatedColumnFormula>
    </tableColumn>
    <tableColumn id="14" name="Bucket">
      <calculatedColumnFormula>IF(M2="","Current",IF(M2&lt;=0,"Current",IF(M2&lt;=7,"1–7",IF(M2&lt;=30,"8–30",IF(M2&lt;=60,"31–60",IF(M2&lt;=90,"61–90","90+"))))))</calculatedColumnFormula>
    </tableColumn>
    <tableColumn id="15" name="reporting_date " dataDxfId="0">
      <calculatedColumnFormula>L62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I1" sqref="I1"/>
    </sheetView>
  </sheetViews>
  <sheetFormatPr defaultRowHeight="14.5" x14ac:dyDescent="0.35"/>
  <cols>
    <col min="1" max="1" width="11.26953125" style="2" bestFit="1" customWidth="1"/>
    <col min="2" max="2" width="17.90625" style="2" bestFit="1" customWidth="1"/>
    <col min="5" max="5" width="16.26953125" style="2" bestFit="1" customWidth="1"/>
    <col min="6" max="6" width="15" style="12" bestFit="1" customWidth="1"/>
    <col min="7" max="7" width="17.7265625" style="2" bestFit="1" customWidth="1"/>
    <col min="8" max="8" width="19" style="2" bestFit="1" customWidth="1"/>
    <col min="9" max="9" width="11.08984375" style="7" bestFit="1" customWidth="1"/>
  </cols>
  <sheetData>
    <row r="1" spans="1:11" x14ac:dyDescent="0.35">
      <c r="A1" s="20" t="s">
        <v>6</v>
      </c>
      <c r="B1" s="20" t="s">
        <v>120</v>
      </c>
      <c r="C1" s="29" t="s">
        <v>1</v>
      </c>
      <c r="D1" s="29" t="s">
        <v>2</v>
      </c>
      <c r="E1" s="20" t="s">
        <v>3</v>
      </c>
      <c r="F1" s="31" t="s">
        <v>4</v>
      </c>
      <c r="G1" s="20" t="s">
        <v>5</v>
      </c>
      <c r="H1" s="20" t="s">
        <v>31</v>
      </c>
      <c r="J1" s="40" t="s">
        <v>0</v>
      </c>
      <c r="K1" s="40" t="s">
        <v>0</v>
      </c>
    </row>
    <row r="2" spans="1:11" x14ac:dyDescent="0.35">
      <c r="A2" s="3" t="s">
        <v>7</v>
      </c>
      <c r="B2" s="4" t="s">
        <v>121</v>
      </c>
      <c r="C2" s="1" t="s">
        <v>16</v>
      </c>
      <c r="D2" s="1">
        <v>32</v>
      </c>
      <c r="E2" s="3" t="s">
        <v>23</v>
      </c>
      <c r="F2" s="11">
        <v>250000</v>
      </c>
      <c r="G2" s="3" t="s">
        <v>25</v>
      </c>
      <c r="H2" s="3">
        <v>18</v>
      </c>
      <c r="I2" s="4">
        <v>45660</v>
      </c>
    </row>
    <row r="3" spans="1:11" x14ac:dyDescent="0.35">
      <c r="A3" s="3" t="s">
        <v>8</v>
      </c>
      <c r="B3" s="4" t="s">
        <v>122</v>
      </c>
      <c r="C3" s="1" t="s">
        <v>17</v>
      </c>
      <c r="D3" s="1">
        <v>27</v>
      </c>
      <c r="E3" s="3" t="s">
        <v>22</v>
      </c>
      <c r="F3" s="11">
        <v>180000</v>
      </c>
      <c r="G3" s="3" t="s">
        <v>26</v>
      </c>
      <c r="H3" s="3">
        <v>17</v>
      </c>
      <c r="I3" s="4">
        <v>45660</v>
      </c>
    </row>
    <row r="4" spans="1:11" x14ac:dyDescent="0.35">
      <c r="A4" s="3" t="s">
        <v>9</v>
      </c>
      <c r="B4" s="4" t="s">
        <v>123</v>
      </c>
      <c r="C4" s="1" t="s">
        <v>18</v>
      </c>
      <c r="D4" s="1">
        <v>41</v>
      </c>
      <c r="E4" s="3" t="s">
        <v>55</v>
      </c>
      <c r="F4" s="11">
        <v>520000</v>
      </c>
      <c r="G4" s="3" t="s">
        <v>25</v>
      </c>
      <c r="H4" s="3">
        <v>16</v>
      </c>
      <c r="I4" s="4">
        <v>45690</v>
      </c>
    </row>
    <row r="5" spans="1:11" x14ac:dyDescent="0.35">
      <c r="A5" s="3" t="s">
        <v>10</v>
      </c>
      <c r="B5" s="4" t="s">
        <v>124</v>
      </c>
      <c r="C5" s="1" t="s">
        <v>19</v>
      </c>
      <c r="D5" s="1">
        <v>36</v>
      </c>
      <c r="E5" s="3" t="s">
        <v>30</v>
      </c>
      <c r="F5" s="11">
        <v>320000</v>
      </c>
      <c r="G5" s="3" t="s">
        <v>25</v>
      </c>
      <c r="H5" s="3">
        <v>15</v>
      </c>
      <c r="I5" s="4">
        <v>46054</v>
      </c>
    </row>
    <row r="6" spans="1:11" x14ac:dyDescent="0.35">
      <c r="A6" s="3" t="s">
        <v>11</v>
      </c>
      <c r="B6" s="4" t="s">
        <v>125</v>
      </c>
      <c r="C6" s="1" t="s">
        <v>20</v>
      </c>
      <c r="D6" s="1">
        <v>29</v>
      </c>
      <c r="E6" s="3" t="s">
        <v>24</v>
      </c>
      <c r="F6" s="11">
        <v>150000</v>
      </c>
      <c r="G6" s="3" t="s">
        <v>27</v>
      </c>
      <c r="H6" s="3">
        <v>14</v>
      </c>
      <c r="I6" s="4">
        <v>45728</v>
      </c>
    </row>
    <row r="7" spans="1:11" x14ac:dyDescent="0.35">
      <c r="A7" s="3" t="s">
        <v>12</v>
      </c>
      <c r="B7" s="4" t="s">
        <v>126</v>
      </c>
      <c r="C7" s="1" t="s">
        <v>21</v>
      </c>
      <c r="D7" s="1">
        <v>38</v>
      </c>
      <c r="E7" s="3" t="s">
        <v>55</v>
      </c>
      <c r="F7" s="11">
        <v>470000</v>
      </c>
      <c r="G7" s="3" t="s">
        <v>26</v>
      </c>
      <c r="H7" s="3">
        <v>13</v>
      </c>
      <c r="I7" s="4">
        <v>45759</v>
      </c>
    </row>
    <row r="8" spans="1:11" x14ac:dyDescent="0.35">
      <c r="A8" s="3" t="s">
        <v>13</v>
      </c>
      <c r="B8" s="4" t="s">
        <v>127</v>
      </c>
      <c r="C8" s="1" t="s">
        <v>56</v>
      </c>
      <c r="D8" s="1">
        <v>24</v>
      </c>
      <c r="E8" s="3" t="s">
        <v>23</v>
      </c>
      <c r="F8" s="11">
        <v>170000</v>
      </c>
      <c r="G8" s="3" t="s">
        <v>25</v>
      </c>
      <c r="H8" s="3">
        <v>12</v>
      </c>
      <c r="I8" s="4">
        <v>45787</v>
      </c>
    </row>
    <row r="9" spans="1:11" x14ac:dyDescent="0.35">
      <c r="A9" s="3" t="s">
        <v>14</v>
      </c>
      <c r="B9" s="4" t="s">
        <v>128</v>
      </c>
      <c r="C9" s="1" t="s">
        <v>57</v>
      </c>
      <c r="D9" s="1">
        <v>45</v>
      </c>
      <c r="E9" s="3" t="s">
        <v>58</v>
      </c>
      <c r="F9" s="11">
        <v>600000</v>
      </c>
      <c r="G9" s="3" t="s">
        <v>26</v>
      </c>
      <c r="H9" s="3">
        <v>11</v>
      </c>
      <c r="I9" s="4">
        <v>45785</v>
      </c>
    </row>
    <row r="10" spans="1:11" x14ac:dyDescent="0.35">
      <c r="A10" s="3" t="s">
        <v>15</v>
      </c>
      <c r="B10" s="4" t="s">
        <v>129</v>
      </c>
      <c r="C10" s="1" t="s">
        <v>59</v>
      </c>
      <c r="D10" s="1">
        <v>30</v>
      </c>
      <c r="E10" s="3" t="s">
        <v>22</v>
      </c>
      <c r="F10" s="11">
        <v>210000</v>
      </c>
      <c r="G10" s="3" t="s">
        <v>26</v>
      </c>
      <c r="H10" s="3">
        <v>10</v>
      </c>
      <c r="I10" s="4">
        <v>45813</v>
      </c>
    </row>
    <row r="11" spans="1:11" x14ac:dyDescent="0.35">
      <c r="A11" s="3" t="s">
        <v>54</v>
      </c>
      <c r="B11" s="2" t="s">
        <v>130</v>
      </c>
      <c r="C11" s="1" t="s">
        <v>77</v>
      </c>
      <c r="D11" s="1">
        <v>34</v>
      </c>
      <c r="E11" s="3" t="s">
        <v>23</v>
      </c>
      <c r="F11" s="11">
        <v>390000</v>
      </c>
      <c r="G11" s="3" t="s">
        <v>25</v>
      </c>
      <c r="H11" s="3">
        <v>9</v>
      </c>
      <c r="I11" s="7">
        <v>45817</v>
      </c>
    </row>
    <row r="12" spans="1:11" x14ac:dyDescent="0.35">
      <c r="A12" s="3" t="s">
        <v>97</v>
      </c>
      <c r="B12" s="4" t="s">
        <v>131</v>
      </c>
      <c r="C12" s="1" t="s">
        <v>117</v>
      </c>
      <c r="D12" s="1">
        <v>32</v>
      </c>
      <c r="E12" s="3" t="s">
        <v>23</v>
      </c>
      <c r="F12" s="11">
        <v>250000</v>
      </c>
      <c r="G12" s="3" t="s">
        <v>25</v>
      </c>
      <c r="H12" s="3">
        <v>18</v>
      </c>
      <c r="I12" s="4">
        <v>46025</v>
      </c>
    </row>
    <row r="13" spans="1:11" x14ac:dyDescent="0.35">
      <c r="A13" s="3" t="s">
        <v>98</v>
      </c>
      <c r="B13" s="4" t="s">
        <v>132</v>
      </c>
      <c r="C13" s="1" t="s">
        <v>118</v>
      </c>
      <c r="D13" s="1">
        <v>27</v>
      </c>
      <c r="E13" s="3" t="s">
        <v>22</v>
      </c>
      <c r="F13" s="11">
        <v>180000</v>
      </c>
      <c r="G13" s="3" t="s">
        <v>26</v>
      </c>
      <c r="H13" s="3">
        <v>17</v>
      </c>
      <c r="I13" s="4">
        <v>46025</v>
      </c>
    </row>
    <row r="14" spans="1:11" x14ac:dyDescent="0.35">
      <c r="A14" s="3" t="s">
        <v>99</v>
      </c>
      <c r="B14" s="4" t="s">
        <v>133</v>
      </c>
      <c r="C14" s="1" t="s">
        <v>18</v>
      </c>
      <c r="D14" s="1">
        <v>41</v>
      </c>
      <c r="E14" s="3" t="s">
        <v>55</v>
      </c>
      <c r="F14" s="11">
        <v>520000</v>
      </c>
      <c r="G14" s="3" t="s">
        <v>25</v>
      </c>
      <c r="H14" s="3">
        <v>16</v>
      </c>
      <c r="I14" s="4">
        <v>46055</v>
      </c>
    </row>
    <row r="15" spans="1:11" x14ac:dyDescent="0.35">
      <c r="A15" s="3" t="s">
        <v>100</v>
      </c>
      <c r="B15" s="4" t="s">
        <v>134</v>
      </c>
      <c r="C15" s="1" t="s">
        <v>57</v>
      </c>
      <c r="D15" s="1">
        <v>36</v>
      </c>
      <c r="E15" s="3" t="s">
        <v>23</v>
      </c>
      <c r="F15" s="11">
        <v>320000</v>
      </c>
      <c r="G15" s="3" t="s">
        <v>25</v>
      </c>
      <c r="H15" s="3">
        <v>15</v>
      </c>
      <c r="I15" s="4">
        <v>46054</v>
      </c>
    </row>
    <row r="16" spans="1:11" x14ac:dyDescent="0.35">
      <c r="A16" s="3" t="s">
        <v>101</v>
      </c>
      <c r="B16" s="4" t="s">
        <v>135</v>
      </c>
      <c r="C16" s="1" t="s">
        <v>119</v>
      </c>
      <c r="D16" s="1">
        <v>29</v>
      </c>
      <c r="E16" s="3" t="s">
        <v>24</v>
      </c>
      <c r="F16" s="11">
        <v>150000</v>
      </c>
      <c r="G16" s="3" t="s">
        <v>27</v>
      </c>
      <c r="H16" s="3">
        <v>14</v>
      </c>
      <c r="I16" s="4">
        <v>45728</v>
      </c>
    </row>
    <row r="17" spans="1:9" x14ac:dyDescent="0.35">
      <c r="A17" s="3" t="s">
        <v>102</v>
      </c>
      <c r="B17" s="4" t="s">
        <v>136</v>
      </c>
      <c r="C17" s="1" t="s">
        <v>21</v>
      </c>
      <c r="D17" s="1">
        <v>38</v>
      </c>
      <c r="E17" s="3" t="s">
        <v>55</v>
      </c>
      <c r="F17" s="11">
        <v>470000</v>
      </c>
      <c r="G17" s="3" t="s">
        <v>26</v>
      </c>
      <c r="H17" s="3">
        <v>13</v>
      </c>
      <c r="I17" s="4">
        <v>45759</v>
      </c>
    </row>
    <row r="18" spans="1:9" x14ac:dyDescent="0.35">
      <c r="A18" s="3" t="s">
        <v>103</v>
      </c>
      <c r="B18" s="4" t="s">
        <v>137</v>
      </c>
      <c r="C18" s="1" t="s">
        <v>56</v>
      </c>
      <c r="D18" s="1">
        <v>24</v>
      </c>
      <c r="E18" s="3" t="s">
        <v>23</v>
      </c>
      <c r="F18" s="11">
        <v>170000</v>
      </c>
      <c r="G18" s="3" t="s">
        <v>25</v>
      </c>
      <c r="H18" s="3">
        <v>12</v>
      </c>
      <c r="I18" s="4">
        <v>45787</v>
      </c>
    </row>
    <row r="19" spans="1:9" x14ac:dyDescent="0.35">
      <c r="A19" s="3" t="s">
        <v>104</v>
      </c>
      <c r="B19" s="4" t="s">
        <v>138</v>
      </c>
      <c r="C19" s="1" t="s">
        <v>57</v>
      </c>
      <c r="D19" s="1">
        <v>45</v>
      </c>
      <c r="E19" s="3" t="s">
        <v>58</v>
      </c>
      <c r="F19" s="11">
        <v>600000</v>
      </c>
      <c r="G19" s="3" t="s">
        <v>26</v>
      </c>
      <c r="H19" s="3">
        <v>11</v>
      </c>
      <c r="I19" s="4">
        <v>45785</v>
      </c>
    </row>
    <row r="20" spans="1:9" x14ac:dyDescent="0.35">
      <c r="A20" s="3" t="s">
        <v>105</v>
      </c>
      <c r="B20" s="4" t="s">
        <v>139</v>
      </c>
      <c r="C20" s="1" t="s">
        <v>59</v>
      </c>
      <c r="D20" s="1">
        <v>30</v>
      </c>
      <c r="E20" s="3" t="s">
        <v>23</v>
      </c>
      <c r="F20" s="11">
        <v>210000</v>
      </c>
      <c r="G20" s="3" t="s">
        <v>26</v>
      </c>
      <c r="H20" s="3">
        <v>10</v>
      </c>
      <c r="I20" s="4">
        <v>45813</v>
      </c>
    </row>
    <row r="21" spans="1:9" x14ac:dyDescent="0.35">
      <c r="A21" s="3" t="s">
        <v>106</v>
      </c>
      <c r="B21" s="2" t="s">
        <v>140</v>
      </c>
      <c r="C21" s="1" t="s">
        <v>77</v>
      </c>
      <c r="D21" s="1">
        <v>34</v>
      </c>
      <c r="E21" s="3" t="s">
        <v>23</v>
      </c>
      <c r="F21" s="11">
        <v>390000</v>
      </c>
      <c r="G21" s="3" t="s">
        <v>25</v>
      </c>
      <c r="H21" s="3">
        <v>9</v>
      </c>
      <c r="I21" s="7">
        <v>45756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J14" sqref="J14"/>
    </sheetView>
  </sheetViews>
  <sheetFormatPr defaultRowHeight="14.5" x14ac:dyDescent="0.35"/>
  <cols>
    <col min="1" max="1" width="12.6328125" bestFit="1" customWidth="1"/>
    <col min="2" max="2" width="11.26953125" style="2" bestFit="1" customWidth="1"/>
    <col min="3" max="3" width="15" style="2" bestFit="1" customWidth="1"/>
    <col min="4" max="4" width="13.453125" style="2" bestFit="1" customWidth="1"/>
    <col min="5" max="5" width="18.453125" style="10" bestFit="1" customWidth="1"/>
    <col min="6" max="6" width="12.36328125" style="2" bestFit="1" customWidth="1"/>
    <col min="7" max="7" width="12.26953125" style="2" bestFit="1" customWidth="1"/>
    <col min="8" max="8" width="20.7265625" style="12" bestFit="1" customWidth="1"/>
    <col min="9" max="9" width="19" style="12" bestFit="1" customWidth="1"/>
    <col min="10" max="10" width="9" style="2" bestFit="1" customWidth="1"/>
    <col min="11" max="11" width="12.36328125" style="2" bestFit="1" customWidth="1"/>
  </cols>
  <sheetData>
    <row r="1" spans="1:11" x14ac:dyDescent="0.35">
      <c r="A1" s="20" t="s">
        <v>33</v>
      </c>
      <c r="B1" s="20" t="s">
        <v>6</v>
      </c>
      <c r="C1" s="20" t="s">
        <v>60</v>
      </c>
      <c r="D1" s="20" t="s">
        <v>28</v>
      </c>
      <c r="E1" s="31" t="s">
        <v>29</v>
      </c>
      <c r="F1" s="20" t="s">
        <v>36</v>
      </c>
      <c r="G1" s="20" t="s">
        <v>61</v>
      </c>
      <c r="H1" s="31" t="s">
        <v>62</v>
      </c>
      <c r="I1" s="31" t="s">
        <v>63</v>
      </c>
      <c r="J1" s="20" t="s">
        <v>64</v>
      </c>
      <c r="K1" s="20" t="s">
        <v>65</v>
      </c>
    </row>
    <row r="2" spans="1:11" x14ac:dyDescent="0.35">
      <c r="A2" s="1" t="s">
        <v>39</v>
      </c>
      <c r="B2" s="3" t="s">
        <v>7</v>
      </c>
      <c r="C2" s="4">
        <v>45810</v>
      </c>
      <c r="D2" s="3" t="s">
        <v>66</v>
      </c>
      <c r="E2" s="9">
        <v>300000</v>
      </c>
      <c r="F2" s="3">
        <v>3</v>
      </c>
      <c r="G2" s="3">
        <v>725</v>
      </c>
      <c r="H2" s="11">
        <v>20000</v>
      </c>
      <c r="I2" s="11">
        <v>29500</v>
      </c>
      <c r="J2" s="3" t="s">
        <v>67</v>
      </c>
      <c r="K2" s="3">
        <v>1</v>
      </c>
    </row>
    <row r="3" spans="1:11" x14ac:dyDescent="0.35">
      <c r="A3" s="1" t="s">
        <v>41</v>
      </c>
      <c r="B3" s="3" t="s">
        <v>8</v>
      </c>
      <c r="C3" s="4">
        <v>45811</v>
      </c>
      <c r="D3" s="3" t="s">
        <v>68</v>
      </c>
      <c r="E3" s="9">
        <v>100000</v>
      </c>
      <c r="F3" s="3">
        <v>3</v>
      </c>
      <c r="G3" s="3">
        <v>650</v>
      </c>
      <c r="H3" s="11">
        <v>15000</v>
      </c>
      <c r="I3" s="11">
        <v>18500</v>
      </c>
      <c r="J3" s="3" t="s">
        <v>67</v>
      </c>
      <c r="K3" s="3">
        <v>1</v>
      </c>
    </row>
    <row r="4" spans="1:11" x14ac:dyDescent="0.35">
      <c r="A4" s="1" t="s">
        <v>43</v>
      </c>
      <c r="B4" s="3" t="s">
        <v>9</v>
      </c>
      <c r="C4" s="4">
        <v>45812</v>
      </c>
      <c r="D4" s="3" t="s">
        <v>66</v>
      </c>
      <c r="E4" s="9">
        <v>500000</v>
      </c>
      <c r="F4" s="3">
        <v>3</v>
      </c>
      <c r="G4" s="3">
        <v>780</v>
      </c>
      <c r="H4" s="11">
        <v>30000</v>
      </c>
      <c r="I4" s="11">
        <v>37000</v>
      </c>
      <c r="J4" s="3" t="s">
        <v>67</v>
      </c>
      <c r="K4" s="3">
        <v>1</v>
      </c>
    </row>
    <row r="5" spans="1:11" x14ac:dyDescent="0.35">
      <c r="A5" s="1" t="s">
        <v>69</v>
      </c>
      <c r="B5" s="3" t="s">
        <v>10</v>
      </c>
      <c r="C5" s="4">
        <v>45813</v>
      </c>
      <c r="D5" s="3" t="s">
        <v>70</v>
      </c>
      <c r="E5" s="9">
        <v>600000</v>
      </c>
      <c r="F5" s="3">
        <v>3</v>
      </c>
      <c r="G5" s="3">
        <v>590</v>
      </c>
      <c r="H5" s="11">
        <v>45000</v>
      </c>
      <c r="I5" s="11">
        <v>43000</v>
      </c>
      <c r="J5" s="3" t="s">
        <v>67</v>
      </c>
      <c r="K5" s="3">
        <v>0</v>
      </c>
    </row>
    <row r="6" spans="1:11" x14ac:dyDescent="0.35">
      <c r="A6" s="1" t="s">
        <v>71</v>
      </c>
      <c r="B6" s="3" t="s">
        <v>11</v>
      </c>
      <c r="C6" s="4">
        <v>45814</v>
      </c>
      <c r="D6" s="3" t="s">
        <v>68</v>
      </c>
      <c r="E6" s="9">
        <v>80000</v>
      </c>
      <c r="F6" s="3">
        <v>3</v>
      </c>
      <c r="G6" s="3">
        <v>520</v>
      </c>
      <c r="H6" s="11">
        <v>22000</v>
      </c>
      <c r="I6" s="11">
        <v>28500</v>
      </c>
      <c r="J6" s="3" t="s">
        <v>67</v>
      </c>
      <c r="K6" s="3">
        <v>0</v>
      </c>
    </row>
    <row r="7" spans="1:11" x14ac:dyDescent="0.35">
      <c r="A7" s="1" t="s">
        <v>45</v>
      </c>
      <c r="B7" s="3" t="s">
        <v>12</v>
      </c>
      <c r="C7" s="4">
        <v>45815</v>
      </c>
      <c r="D7" s="3" t="s">
        <v>70</v>
      </c>
      <c r="E7" s="9">
        <v>700000</v>
      </c>
      <c r="F7" s="3">
        <v>3</v>
      </c>
      <c r="G7" s="3">
        <v>735</v>
      </c>
      <c r="H7" s="11">
        <v>35000</v>
      </c>
      <c r="I7" s="11">
        <v>47000</v>
      </c>
      <c r="J7" s="3" t="s">
        <v>67</v>
      </c>
      <c r="K7" s="3">
        <v>1</v>
      </c>
    </row>
    <row r="8" spans="1:11" x14ac:dyDescent="0.35">
      <c r="A8" s="1" t="s">
        <v>47</v>
      </c>
      <c r="B8" s="3" t="s">
        <v>13</v>
      </c>
      <c r="C8" s="4">
        <v>45816</v>
      </c>
      <c r="D8" s="3" t="s">
        <v>66</v>
      </c>
      <c r="E8" s="9">
        <v>200000</v>
      </c>
      <c r="F8" s="3">
        <v>3</v>
      </c>
      <c r="G8" s="3">
        <v>680</v>
      </c>
      <c r="H8" s="11">
        <v>12000</v>
      </c>
      <c r="I8" s="11">
        <v>21000</v>
      </c>
      <c r="J8" s="3" t="s">
        <v>67</v>
      </c>
      <c r="K8" s="3">
        <v>1</v>
      </c>
    </row>
    <row r="9" spans="1:11" x14ac:dyDescent="0.35">
      <c r="A9" s="1" t="s">
        <v>49</v>
      </c>
      <c r="B9" s="3" t="s">
        <v>14</v>
      </c>
      <c r="C9" s="4">
        <v>45817</v>
      </c>
      <c r="D9" s="3" t="s">
        <v>70</v>
      </c>
      <c r="E9" s="9">
        <v>1000000</v>
      </c>
      <c r="F9" s="3">
        <v>3</v>
      </c>
      <c r="G9" s="3">
        <v>760</v>
      </c>
      <c r="H9" s="11">
        <v>60000</v>
      </c>
      <c r="I9" s="11">
        <v>52000</v>
      </c>
      <c r="J9" s="3" t="s">
        <v>187</v>
      </c>
      <c r="K9" s="3">
        <v>1</v>
      </c>
    </row>
    <row r="10" spans="1:11" x14ac:dyDescent="0.35">
      <c r="A10" s="1" t="s">
        <v>51</v>
      </c>
      <c r="B10" s="3" t="s">
        <v>15</v>
      </c>
      <c r="C10" s="4">
        <v>45818</v>
      </c>
      <c r="D10" s="3" t="s">
        <v>68</v>
      </c>
      <c r="E10" s="9">
        <v>120000</v>
      </c>
      <c r="F10" s="3">
        <v>3</v>
      </c>
      <c r="G10" s="3">
        <v>605</v>
      </c>
      <c r="H10" s="11">
        <v>18000</v>
      </c>
      <c r="I10" s="11">
        <v>21000</v>
      </c>
      <c r="J10" s="3" t="s">
        <v>67</v>
      </c>
      <c r="K10" s="3">
        <v>1</v>
      </c>
    </row>
    <row r="11" spans="1:11" x14ac:dyDescent="0.35">
      <c r="A11" s="1" t="s">
        <v>53</v>
      </c>
      <c r="B11" s="3" t="s">
        <v>54</v>
      </c>
      <c r="C11" s="4">
        <v>45819</v>
      </c>
      <c r="D11" s="3" t="s">
        <v>66</v>
      </c>
      <c r="E11" s="9">
        <v>350000</v>
      </c>
      <c r="F11" s="3">
        <v>3</v>
      </c>
      <c r="G11" s="3">
        <v>745</v>
      </c>
      <c r="H11" s="11">
        <v>20000</v>
      </c>
      <c r="I11" s="11">
        <v>33000</v>
      </c>
      <c r="J11" s="3" t="s">
        <v>67</v>
      </c>
      <c r="K11" s="3">
        <v>1</v>
      </c>
    </row>
    <row r="12" spans="1:11" x14ac:dyDescent="0.35">
      <c r="A12" s="1" t="s">
        <v>72</v>
      </c>
      <c r="B12" s="3" t="s">
        <v>97</v>
      </c>
      <c r="C12" s="4">
        <v>45820</v>
      </c>
      <c r="D12" s="3" t="s">
        <v>68</v>
      </c>
      <c r="E12" s="9">
        <v>120000</v>
      </c>
      <c r="F12" s="3">
        <v>3</v>
      </c>
      <c r="G12" s="3">
        <v>730</v>
      </c>
      <c r="H12" s="11">
        <v>15000</v>
      </c>
      <c r="I12" s="11">
        <v>22000</v>
      </c>
      <c r="J12" s="3" t="s">
        <v>67</v>
      </c>
      <c r="K12" s="3">
        <v>1</v>
      </c>
    </row>
    <row r="13" spans="1:11" x14ac:dyDescent="0.35">
      <c r="A13" s="1" t="s">
        <v>73</v>
      </c>
      <c r="B13" s="3" t="s">
        <v>98</v>
      </c>
      <c r="C13" s="4">
        <v>45821</v>
      </c>
      <c r="D13" s="3" t="s">
        <v>70</v>
      </c>
      <c r="E13" s="9">
        <v>900000</v>
      </c>
      <c r="F13" s="3">
        <v>3</v>
      </c>
      <c r="G13" s="3">
        <v>790</v>
      </c>
      <c r="H13" s="11">
        <v>40000</v>
      </c>
      <c r="I13" s="11">
        <v>61000</v>
      </c>
      <c r="J13" s="3" t="s">
        <v>187</v>
      </c>
      <c r="K13" s="3">
        <v>1</v>
      </c>
    </row>
    <row r="14" spans="1:11" x14ac:dyDescent="0.35">
      <c r="A14" s="1" t="s">
        <v>74</v>
      </c>
      <c r="B14" s="3" t="s">
        <v>99</v>
      </c>
      <c r="C14" s="4">
        <v>45822</v>
      </c>
      <c r="D14" s="3" t="s">
        <v>66</v>
      </c>
      <c r="E14" s="9">
        <v>250000</v>
      </c>
      <c r="F14" s="3">
        <v>3</v>
      </c>
      <c r="G14" s="3">
        <v>540</v>
      </c>
      <c r="H14" s="11">
        <v>25000</v>
      </c>
      <c r="I14" s="11">
        <v>26000</v>
      </c>
      <c r="J14" s="3" t="s">
        <v>67</v>
      </c>
      <c r="K14" s="3">
        <v>0</v>
      </c>
    </row>
    <row r="15" spans="1:11" x14ac:dyDescent="0.35">
      <c r="A15" s="1" t="s">
        <v>75</v>
      </c>
      <c r="B15" s="3" t="s">
        <v>100</v>
      </c>
      <c r="C15" s="4">
        <v>45823</v>
      </c>
      <c r="D15" s="3" t="s">
        <v>68</v>
      </c>
      <c r="E15" s="9">
        <v>150000</v>
      </c>
      <c r="F15" s="3">
        <v>3</v>
      </c>
      <c r="G15" s="3">
        <v>770</v>
      </c>
      <c r="H15" s="11">
        <v>18000</v>
      </c>
      <c r="I15" s="11">
        <v>24000</v>
      </c>
      <c r="J15" s="3" t="s">
        <v>67</v>
      </c>
      <c r="K15" s="3">
        <v>1</v>
      </c>
    </row>
    <row r="16" spans="1:11" x14ac:dyDescent="0.35">
      <c r="A16" s="1" t="s">
        <v>76</v>
      </c>
      <c r="B16" s="3" t="s">
        <v>101</v>
      </c>
      <c r="C16" s="4">
        <v>45824</v>
      </c>
      <c r="D16" s="3" t="s">
        <v>66</v>
      </c>
      <c r="E16" s="9">
        <v>300000</v>
      </c>
      <c r="F16" s="3">
        <v>3</v>
      </c>
      <c r="G16" s="3">
        <v>610</v>
      </c>
      <c r="H16" s="11">
        <v>28000</v>
      </c>
      <c r="I16" s="11">
        <v>31000</v>
      </c>
      <c r="J16" s="3" t="s">
        <v>67</v>
      </c>
      <c r="K16" s="3">
        <v>0</v>
      </c>
    </row>
    <row r="17" spans="1:11" x14ac:dyDescent="0.35">
      <c r="A17" s="1" t="s">
        <v>92</v>
      </c>
      <c r="B17" s="3" t="s">
        <v>102</v>
      </c>
      <c r="C17" s="4">
        <v>45825</v>
      </c>
      <c r="D17" s="3" t="s">
        <v>70</v>
      </c>
      <c r="E17" s="10">
        <v>240000</v>
      </c>
      <c r="F17" s="3">
        <v>3</v>
      </c>
      <c r="G17" s="3">
        <v>450</v>
      </c>
      <c r="H17" s="12">
        <v>15000</v>
      </c>
      <c r="I17" s="12">
        <v>55000</v>
      </c>
      <c r="J17" s="3" t="s">
        <v>67</v>
      </c>
      <c r="K17" s="3">
        <v>1</v>
      </c>
    </row>
    <row r="18" spans="1:11" x14ac:dyDescent="0.35">
      <c r="A18" s="1" t="s">
        <v>93</v>
      </c>
      <c r="B18" s="3" t="s">
        <v>103</v>
      </c>
      <c r="C18" s="4">
        <v>45826</v>
      </c>
      <c r="D18" s="3" t="s">
        <v>66</v>
      </c>
      <c r="E18" s="10">
        <v>150000</v>
      </c>
      <c r="F18" s="3">
        <v>3</v>
      </c>
      <c r="G18" s="3">
        <v>500</v>
      </c>
      <c r="H18" s="12">
        <v>35000</v>
      </c>
      <c r="I18" s="12">
        <v>24000</v>
      </c>
      <c r="J18" s="3" t="s">
        <v>67</v>
      </c>
      <c r="K18" s="3">
        <v>1</v>
      </c>
    </row>
    <row r="19" spans="1:11" x14ac:dyDescent="0.35">
      <c r="A19" s="1" t="s">
        <v>94</v>
      </c>
      <c r="B19" s="3" t="s">
        <v>104</v>
      </c>
      <c r="C19" s="4">
        <v>45827</v>
      </c>
      <c r="D19" s="3" t="s">
        <v>70</v>
      </c>
      <c r="E19" s="10">
        <v>250000</v>
      </c>
      <c r="F19" s="3">
        <v>3</v>
      </c>
      <c r="G19" s="3">
        <v>600</v>
      </c>
      <c r="H19" s="12">
        <v>25000</v>
      </c>
      <c r="I19" s="12">
        <v>60000</v>
      </c>
      <c r="J19" s="3" t="s">
        <v>67</v>
      </c>
      <c r="K19" s="3">
        <v>1</v>
      </c>
    </row>
    <row r="20" spans="1:11" x14ac:dyDescent="0.35">
      <c r="A20" s="1" t="s">
        <v>95</v>
      </c>
      <c r="B20" s="3" t="s">
        <v>105</v>
      </c>
      <c r="C20" s="4">
        <v>45828</v>
      </c>
      <c r="D20" s="3" t="s">
        <v>68</v>
      </c>
      <c r="E20" s="10">
        <v>600000</v>
      </c>
      <c r="F20" s="3">
        <v>3</v>
      </c>
      <c r="G20" s="3">
        <v>342</v>
      </c>
      <c r="H20" s="12">
        <v>8000</v>
      </c>
      <c r="I20" s="12">
        <v>250000</v>
      </c>
      <c r="J20" s="3" t="s">
        <v>67</v>
      </c>
      <c r="K20" s="3">
        <v>1</v>
      </c>
    </row>
    <row r="21" spans="1:11" x14ac:dyDescent="0.35">
      <c r="A21" s="1" t="s">
        <v>96</v>
      </c>
      <c r="B21" s="3" t="s">
        <v>106</v>
      </c>
      <c r="C21" s="4">
        <v>45829</v>
      </c>
      <c r="D21" s="3" t="s">
        <v>66</v>
      </c>
      <c r="E21" s="10">
        <v>450000</v>
      </c>
      <c r="F21" s="3">
        <v>3</v>
      </c>
      <c r="G21" s="3">
        <v>768</v>
      </c>
      <c r="H21" s="12">
        <v>3000</v>
      </c>
      <c r="I21" s="12">
        <v>120000</v>
      </c>
      <c r="J21" s="3" t="s">
        <v>67</v>
      </c>
      <c r="K21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>
      <selection activeCell="E2" sqref="E2:E21"/>
    </sheetView>
  </sheetViews>
  <sheetFormatPr defaultRowHeight="14.5" x14ac:dyDescent="0.35"/>
  <cols>
    <col min="2" max="2" width="12.6328125" style="2" bestFit="1" customWidth="1"/>
    <col min="3" max="3" width="11.26953125" style="2" bestFit="1" customWidth="1"/>
    <col min="4" max="4" width="17.36328125" style="2" bestFit="1" customWidth="1"/>
    <col min="5" max="5" width="10.7265625" style="28" bestFit="1" customWidth="1"/>
    <col min="6" max="6" width="20.453125" bestFit="1" customWidth="1"/>
    <col min="7" max="7" width="14.1796875" style="12" bestFit="1" customWidth="1"/>
    <col min="8" max="8" width="14.26953125" style="2" bestFit="1" customWidth="1"/>
    <col min="9" max="9" width="14.7265625" style="2" bestFit="1" customWidth="1"/>
    <col min="10" max="10" width="21.26953125" style="12" bestFit="1" customWidth="1"/>
    <col min="11" max="11" width="14.26953125" style="2" bestFit="1" customWidth="1"/>
    <col min="12" max="12" width="14.7265625" style="2" bestFit="1" customWidth="1"/>
    <col min="13" max="13" width="8.7265625" style="2"/>
    <col min="14" max="14" width="21.26953125" style="2" bestFit="1" customWidth="1"/>
    <col min="15" max="15" width="14.90625" style="2" bestFit="1" customWidth="1"/>
    <col min="16" max="16" width="15.36328125" bestFit="1" customWidth="1"/>
    <col min="18" max="18" width="22.1796875" bestFit="1" customWidth="1"/>
  </cols>
  <sheetData>
    <row r="1" spans="1:20" x14ac:dyDescent="0.35">
      <c r="A1" s="29" t="s">
        <v>32</v>
      </c>
      <c r="B1" s="20" t="s">
        <v>33</v>
      </c>
      <c r="C1" s="20" t="s">
        <v>6</v>
      </c>
      <c r="D1" s="20" t="s">
        <v>34</v>
      </c>
      <c r="E1" s="30" t="s">
        <v>35</v>
      </c>
      <c r="F1" s="20" t="s">
        <v>109</v>
      </c>
      <c r="G1" s="31" t="s">
        <v>111</v>
      </c>
      <c r="H1" s="20" t="s">
        <v>36</v>
      </c>
      <c r="I1" s="20" t="s">
        <v>37</v>
      </c>
      <c r="J1" s="31" t="s">
        <v>110</v>
      </c>
      <c r="Q1" s="8"/>
      <c r="R1" s="8"/>
      <c r="S1" s="8"/>
      <c r="T1" s="8"/>
    </row>
    <row r="2" spans="1:20" x14ac:dyDescent="0.35">
      <c r="A2" s="1" t="s">
        <v>38</v>
      </c>
      <c r="B2" s="3" t="s">
        <v>39</v>
      </c>
      <c r="C2" s="3" t="s">
        <v>7</v>
      </c>
      <c r="D2" s="4">
        <v>45840</v>
      </c>
      <c r="E2" s="9">
        <v>50000</v>
      </c>
      <c r="F2" s="6">
        <f>48%/12</f>
        <v>0.04</v>
      </c>
      <c r="G2" s="11">
        <v>1000</v>
      </c>
      <c r="H2" s="3">
        <v>3</v>
      </c>
      <c r="I2" s="4">
        <v>46297</v>
      </c>
      <c r="J2" s="11">
        <f>E2*F2*3+E2+G2</f>
        <v>57000</v>
      </c>
    </row>
    <row r="3" spans="1:20" x14ac:dyDescent="0.35">
      <c r="A3" s="1" t="s">
        <v>40</v>
      </c>
      <c r="B3" s="3" t="s">
        <v>41</v>
      </c>
      <c r="C3" s="3" t="s">
        <v>8</v>
      </c>
      <c r="D3" s="4">
        <v>45872</v>
      </c>
      <c r="E3" s="9">
        <v>70000</v>
      </c>
      <c r="F3" s="6">
        <f t="shared" ref="F3:F21" si="0">48%/12</f>
        <v>0.04</v>
      </c>
      <c r="G3" s="11">
        <v>3000</v>
      </c>
      <c r="H3" s="3">
        <v>3</v>
      </c>
      <c r="I3" s="4">
        <v>46330</v>
      </c>
      <c r="J3" s="11">
        <f>E3*F3*3+G3+E3</f>
        <v>81400</v>
      </c>
    </row>
    <row r="4" spans="1:20" x14ac:dyDescent="0.35">
      <c r="A4" s="1" t="s">
        <v>42</v>
      </c>
      <c r="B4" s="3" t="s">
        <v>43</v>
      </c>
      <c r="C4" s="3" t="s">
        <v>9</v>
      </c>
      <c r="D4" s="4">
        <v>45842</v>
      </c>
      <c r="E4" s="9">
        <v>90000</v>
      </c>
      <c r="F4" s="6">
        <f t="shared" si="0"/>
        <v>0.04</v>
      </c>
      <c r="G4" s="11">
        <v>2000</v>
      </c>
      <c r="H4" s="3">
        <v>3</v>
      </c>
      <c r="I4" s="4">
        <v>46300</v>
      </c>
      <c r="J4" s="11">
        <f>E2*F2*3+G4+E4</f>
        <v>98000</v>
      </c>
    </row>
    <row r="5" spans="1:20" x14ac:dyDescent="0.35">
      <c r="A5" s="1" t="s">
        <v>44</v>
      </c>
      <c r="B5" s="3" t="s">
        <v>69</v>
      </c>
      <c r="C5" s="3" t="s">
        <v>10</v>
      </c>
      <c r="D5" s="4">
        <v>45907</v>
      </c>
      <c r="E5" s="9">
        <v>110000</v>
      </c>
      <c r="F5" s="6">
        <f t="shared" si="0"/>
        <v>0.04</v>
      </c>
      <c r="G5" s="11">
        <v>3000</v>
      </c>
      <c r="H5" s="3">
        <v>3</v>
      </c>
      <c r="I5" s="4">
        <v>46301</v>
      </c>
      <c r="J5" s="11">
        <f t="shared" ref="J5:J21" si="1">E5*F5*H5+G5+E5</f>
        <v>126200</v>
      </c>
    </row>
    <row r="6" spans="1:20" x14ac:dyDescent="0.35">
      <c r="A6" s="1" t="s">
        <v>46</v>
      </c>
      <c r="B6" s="3" t="s">
        <v>71</v>
      </c>
      <c r="C6" s="3" t="s">
        <v>11</v>
      </c>
      <c r="D6" s="4">
        <v>45938</v>
      </c>
      <c r="E6" s="9">
        <v>130000</v>
      </c>
      <c r="F6" s="6">
        <f t="shared" si="0"/>
        <v>0.04</v>
      </c>
      <c r="G6" s="11">
        <v>3000</v>
      </c>
      <c r="H6" s="3">
        <v>3</v>
      </c>
      <c r="I6" s="4">
        <v>46302</v>
      </c>
      <c r="J6" s="11">
        <f t="shared" si="1"/>
        <v>148600</v>
      </c>
    </row>
    <row r="7" spans="1:20" x14ac:dyDescent="0.35">
      <c r="A7" s="1" t="s">
        <v>48</v>
      </c>
      <c r="B7" s="3" t="s">
        <v>45</v>
      </c>
      <c r="C7" s="3" t="s">
        <v>12</v>
      </c>
      <c r="D7" s="4">
        <v>45847</v>
      </c>
      <c r="E7" s="9">
        <v>150000</v>
      </c>
      <c r="F7" s="6">
        <f t="shared" si="0"/>
        <v>0.04</v>
      </c>
      <c r="G7" s="11">
        <v>5000</v>
      </c>
      <c r="H7" s="3">
        <v>3</v>
      </c>
      <c r="I7" s="4">
        <v>46303</v>
      </c>
      <c r="J7" s="11">
        <f t="shared" si="1"/>
        <v>173000</v>
      </c>
    </row>
    <row r="8" spans="1:20" x14ac:dyDescent="0.35">
      <c r="A8" s="1" t="s">
        <v>50</v>
      </c>
      <c r="B8" s="3" t="s">
        <v>47</v>
      </c>
      <c r="C8" s="3" t="s">
        <v>13</v>
      </c>
      <c r="D8" s="4">
        <v>45848</v>
      </c>
      <c r="E8" s="9">
        <v>170000</v>
      </c>
      <c r="F8" s="6">
        <f t="shared" si="0"/>
        <v>0.04</v>
      </c>
      <c r="G8" s="11">
        <v>2500</v>
      </c>
      <c r="H8" s="3">
        <v>3</v>
      </c>
      <c r="I8" s="4">
        <v>46304</v>
      </c>
      <c r="J8" s="11">
        <f t="shared" si="1"/>
        <v>192900</v>
      </c>
    </row>
    <row r="9" spans="1:20" x14ac:dyDescent="0.35">
      <c r="A9" s="1" t="s">
        <v>52</v>
      </c>
      <c r="B9" s="3" t="s">
        <v>49</v>
      </c>
      <c r="C9" s="3" t="s">
        <v>14</v>
      </c>
      <c r="D9" s="4">
        <v>45849</v>
      </c>
      <c r="E9" s="9">
        <v>60000</v>
      </c>
      <c r="F9" s="6">
        <f t="shared" si="0"/>
        <v>0.04</v>
      </c>
      <c r="G9" s="11">
        <v>1000</v>
      </c>
      <c r="H9" s="3">
        <v>3</v>
      </c>
      <c r="I9" s="4">
        <v>46305</v>
      </c>
      <c r="J9" s="11">
        <f t="shared" si="1"/>
        <v>68200</v>
      </c>
    </row>
    <row r="10" spans="1:20" x14ac:dyDescent="0.35">
      <c r="A10" s="1" t="s">
        <v>80</v>
      </c>
      <c r="B10" s="3" t="s">
        <v>51</v>
      </c>
      <c r="C10" s="3" t="s">
        <v>15</v>
      </c>
      <c r="D10" s="4">
        <v>45850</v>
      </c>
      <c r="E10" s="9">
        <v>80000</v>
      </c>
      <c r="F10" s="6">
        <f t="shared" si="0"/>
        <v>0.04</v>
      </c>
      <c r="G10" s="11">
        <v>2000</v>
      </c>
      <c r="H10" s="3">
        <v>3</v>
      </c>
      <c r="I10" s="4">
        <v>46306</v>
      </c>
      <c r="J10" s="11">
        <f t="shared" si="1"/>
        <v>91600</v>
      </c>
    </row>
    <row r="11" spans="1:20" x14ac:dyDescent="0.35">
      <c r="A11" s="1" t="s">
        <v>81</v>
      </c>
      <c r="B11" s="3" t="s">
        <v>53</v>
      </c>
      <c r="C11" s="3" t="s">
        <v>54</v>
      </c>
      <c r="D11" s="4">
        <v>45851</v>
      </c>
      <c r="E11" s="9">
        <v>100000</v>
      </c>
      <c r="F11" s="6">
        <f t="shared" si="0"/>
        <v>0.04</v>
      </c>
      <c r="G11" s="11">
        <v>3000</v>
      </c>
      <c r="H11" s="3">
        <v>3</v>
      </c>
      <c r="I11" s="4">
        <v>46307</v>
      </c>
      <c r="J11" s="11">
        <f t="shared" si="1"/>
        <v>115000</v>
      </c>
    </row>
    <row r="12" spans="1:20" x14ac:dyDescent="0.35">
      <c r="A12" s="1" t="s">
        <v>82</v>
      </c>
      <c r="B12" s="3" t="s">
        <v>72</v>
      </c>
      <c r="C12" s="3" t="s">
        <v>97</v>
      </c>
      <c r="D12" s="4">
        <v>45852</v>
      </c>
      <c r="E12" s="9">
        <v>120000</v>
      </c>
      <c r="F12" s="6">
        <f t="shared" si="0"/>
        <v>0.04</v>
      </c>
      <c r="G12" s="11">
        <v>3000</v>
      </c>
      <c r="H12" s="3">
        <v>3</v>
      </c>
      <c r="I12" s="4">
        <v>46308</v>
      </c>
      <c r="J12" s="11">
        <f t="shared" si="1"/>
        <v>137400</v>
      </c>
      <c r="K12" s="18">
        <f>J12/H12</f>
        <v>45800</v>
      </c>
    </row>
    <row r="13" spans="1:20" x14ac:dyDescent="0.35">
      <c r="A13" s="1" t="s">
        <v>83</v>
      </c>
      <c r="B13" s="3" t="s">
        <v>73</v>
      </c>
      <c r="C13" s="3" t="s">
        <v>98</v>
      </c>
      <c r="D13" s="4">
        <v>45853</v>
      </c>
      <c r="E13" s="9">
        <v>140000</v>
      </c>
      <c r="F13" s="6">
        <f t="shared" si="0"/>
        <v>0.04</v>
      </c>
      <c r="G13" s="11">
        <v>3000</v>
      </c>
      <c r="H13" s="3">
        <v>3</v>
      </c>
      <c r="I13" s="4">
        <v>46309</v>
      </c>
      <c r="J13" s="11">
        <f t="shared" si="1"/>
        <v>159800</v>
      </c>
    </row>
    <row r="14" spans="1:20" x14ac:dyDescent="0.35">
      <c r="A14" s="1" t="s">
        <v>84</v>
      </c>
      <c r="B14" s="3" t="s">
        <v>74</v>
      </c>
      <c r="C14" s="3" t="s">
        <v>99</v>
      </c>
      <c r="D14" s="4">
        <v>45854</v>
      </c>
      <c r="E14" s="9">
        <v>160000</v>
      </c>
      <c r="F14" s="6">
        <f t="shared" si="0"/>
        <v>0.04</v>
      </c>
      <c r="G14" s="12">
        <v>5000</v>
      </c>
      <c r="H14" s="3">
        <v>3</v>
      </c>
      <c r="I14" s="4">
        <v>46310</v>
      </c>
      <c r="J14" s="11">
        <f t="shared" si="1"/>
        <v>184200</v>
      </c>
    </row>
    <row r="15" spans="1:20" x14ac:dyDescent="0.35">
      <c r="A15" s="1" t="s">
        <v>85</v>
      </c>
      <c r="B15" s="3" t="s">
        <v>75</v>
      </c>
      <c r="C15" s="3" t="s">
        <v>100</v>
      </c>
      <c r="D15" s="4">
        <v>45855</v>
      </c>
      <c r="E15" s="9">
        <v>180000</v>
      </c>
      <c r="F15" s="6">
        <f t="shared" si="0"/>
        <v>0.04</v>
      </c>
      <c r="G15" s="12">
        <v>5000</v>
      </c>
      <c r="H15" s="3">
        <v>3</v>
      </c>
      <c r="I15" s="4">
        <v>46311</v>
      </c>
      <c r="J15" s="11">
        <f t="shared" si="1"/>
        <v>206600</v>
      </c>
    </row>
    <row r="16" spans="1:20" x14ac:dyDescent="0.35">
      <c r="A16" s="1" t="s">
        <v>86</v>
      </c>
      <c r="B16" s="3" t="s">
        <v>76</v>
      </c>
      <c r="C16" s="3" t="s">
        <v>101</v>
      </c>
      <c r="D16" s="4">
        <v>45856</v>
      </c>
      <c r="E16" s="9">
        <v>200000</v>
      </c>
      <c r="F16" s="6">
        <f t="shared" si="0"/>
        <v>0.04</v>
      </c>
      <c r="G16" s="12">
        <v>5000</v>
      </c>
      <c r="H16" s="3">
        <v>3</v>
      </c>
      <c r="I16" s="4">
        <v>46312</v>
      </c>
      <c r="J16" s="11">
        <f t="shared" si="1"/>
        <v>229000</v>
      </c>
    </row>
    <row r="17" spans="1:15" x14ac:dyDescent="0.35">
      <c r="A17" s="1" t="s">
        <v>87</v>
      </c>
      <c r="B17" s="3" t="s">
        <v>92</v>
      </c>
      <c r="C17" s="3" t="s">
        <v>102</v>
      </c>
      <c r="D17" s="4">
        <v>45857</v>
      </c>
      <c r="E17" s="9">
        <v>70000</v>
      </c>
      <c r="F17" s="6">
        <f t="shared" si="0"/>
        <v>0.04</v>
      </c>
      <c r="G17" s="12">
        <v>2000</v>
      </c>
      <c r="H17" s="3">
        <v>3</v>
      </c>
      <c r="I17" s="4">
        <v>46313</v>
      </c>
      <c r="J17" s="11">
        <f t="shared" si="1"/>
        <v>80400</v>
      </c>
    </row>
    <row r="18" spans="1:15" x14ac:dyDescent="0.35">
      <c r="A18" s="1" t="s">
        <v>88</v>
      </c>
      <c r="B18" s="3" t="s">
        <v>93</v>
      </c>
      <c r="C18" s="3" t="s">
        <v>103</v>
      </c>
      <c r="D18" s="4">
        <v>45858</v>
      </c>
      <c r="E18" s="9">
        <v>90000</v>
      </c>
      <c r="F18" s="6">
        <f t="shared" si="0"/>
        <v>0.04</v>
      </c>
      <c r="G18" s="12">
        <v>2000</v>
      </c>
      <c r="H18" s="3">
        <v>3</v>
      </c>
      <c r="I18" s="4">
        <v>46314</v>
      </c>
      <c r="J18" s="11">
        <f t="shared" si="1"/>
        <v>102800</v>
      </c>
    </row>
    <row r="19" spans="1:15" x14ac:dyDescent="0.35">
      <c r="A19" s="1" t="s">
        <v>89</v>
      </c>
      <c r="B19" s="3" t="s">
        <v>94</v>
      </c>
      <c r="C19" s="3" t="s">
        <v>104</v>
      </c>
      <c r="D19" s="4">
        <v>45859</v>
      </c>
      <c r="E19" s="9">
        <v>110000</v>
      </c>
      <c r="F19" s="6">
        <f t="shared" si="0"/>
        <v>0.04</v>
      </c>
      <c r="G19" s="12">
        <v>3000</v>
      </c>
      <c r="H19" s="3">
        <v>3</v>
      </c>
      <c r="I19" s="4">
        <v>46315</v>
      </c>
      <c r="J19" s="11">
        <f t="shared" si="1"/>
        <v>126200</v>
      </c>
    </row>
    <row r="20" spans="1:15" x14ac:dyDescent="0.35">
      <c r="A20" s="1" t="s">
        <v>90</v>
      </c>
      <c r="B20" s="3" t="s">
        <v>95</v>
      </c>
      <c r="C20" s="3" t="s">
        <v>105</v>
      </c>
      <c r="D20" s="4">
        <v>45860</v>
      </c>
      <c r="E20" s="9">
        <v>50000</v>
      </c>
      <c r="F20" s="6">
        <f t="shared" si="0"/>
        <v>0.04</v>
      </c>
      <c r="G20" s="12">
        <v>1000</v>
      </c>
      <c r="H20" s="3">
        <v>3</v>
      </c>
      <c r="I20" s="4">
        <v>46316</v>
      </c>
      <c r="J20" s="11">
        <f t="shared" si="1"/>
        <v>57000</v>
      </c>
    </row>
    <row r="21" spans="1:15" x14ac:dyDescent="0.35">
      <c r="A21" s="1" t="s">
        <v>91</v>
      </c>
      <c r="B21" s="3" t="s">
        <v>96</v>
      </c>
      <c r="C21" s="3" t="s">
        <v>106</v>
      </c>
      <c r="D21" s="4">
        <v>45861</v>
      </c>
      <c r="E21" s="9">
        <v>75000</v>
      </c>
      <c r="F21" s="6">
        <f t="shared" si="0"/>
        <v>0.04</v>
      </c>
      <c r="G21" s="12">
        <v>1000</v>
      </c>
      <c r="H21" s="3">
        <v>3</v>
      </c>
      <c r="I21" s="4">
        <v>46317</v>
      </c>
      <c r="J21" s="11">
        <f t="shared" si="1"/>
        <v>85000</v>
      </c>
    </row>
    <row r="22" spans="1:15" x14ac:dyDescent="0.35">
      <c r="O22"/>
    </row>
    <row r="23" spans="1:15" x14ac:dyDescent="0.35">
      <c r="A23" s="28"/>
      <c r="B23"/>
      <c r="C23" s="12"/>
      <c r="E23" s="2"/>
      <c r="F23" s="12"/>
      <c r="G23" s="2"/>
      <c r="J23" s="2"/>
      <c r="K23"/>
      <c r="L23"/>
      <c r="M23"/>
      <c r="N23"/>
      <c r="O23"/>
    </row>
    <row r="24" spans="1:15" x14ac:dyDescent="0.35">
      <c r="A24" s="28"/>
      <c r="B24"/>
      <c r="C24" s="12"/>
      <c r="E24" s="2"/>
      <c r="F24" s="2"/>
      <c r="G24" s="2"/>
      <c r="I24"/>
      <c r="J24"/>
      <c r="K24"/>
      <c r="L24"/>
      <c r="M24"/>
      <c r="N24"/>
      <c r="O24"/>
    </row>
    <row r="25" spans="1:15" x14ac:dyDescent="0.35">
      <c r="A25" s="28"/>
      <c r="B25"/>
      <c r="C25" s="12"/>
      <c r="E25" s="2"/>
      <c r="F25" s="2"/>
      <c r="G25" s="2"/>
      <c r="I25"/>
      <c r="J25"/>
      <c r="K25"/>
      <c r="L25"/>
      <c r="M25"/>
      <c r="N25"/>
      <c r="O25"/>
    </row>
    <row r="26" spans="1:15" x14ac:dyDescent="0.35">
      <c r="A26" s="28"/>
      <c r="B26"/>
      <c r="C26" s="12"/>
      <c r="E26" s="2"/>
      <c r="F26" s="2"/>
      <c r="G26" s="2"/>
      <c r="I26"/>
      <c r="J26"/>
      <c r="K26"/>
      <c r="L26"/>
      <c r="M26"/>
      <c r="N26"/>
      <c r="O26"/>
    </row>
    <row r="27" spans="1:15" x14ac:dyDescent="0.35">
      <c r="A27" s="28"/>
      <c r="B27"/>
      <c r="C27" s="12"/>
      <c r="E27" s="2"/>
      <c r="F27" s="2"/>
      <c r="G27" s="2"/>
      <c r="I27"/>
      <c r="J27"/>
      <c r="K27"/>
      <c r="L27"/>
      <c r="M27"/>
      <c r="N27"/>
      <c r="O27"/>
    </row>
    <row r="28" spans="1:15" x14ac:dyDescent="0.35">
      <c r="A28" s="28"/>
      <c r="B28"/>
      <c r="C28" s="12"/>
      <c r="E28" s="2"/>
      <c r="F28" s="2"/>
      <c r="G28" s="2"/>
      <c r="I28"/>
      <c r="J28"/>
      <c r="K28"/>
      <c r="L28"/>
      <c r="M28"/>
      <c r="N28"/>
      <c r="O28"/>
    </row>
    <row r="29" spans="1:15" x14ac:dyDescent="0.35">
      <c r="A29" s="28"/>
      <c r="B29"/>
      <c r="C29" s="12"/>
      <c r="E29" s="2"/>
      <c r="F29" s="2"/>
      <c r="G29" s="2"/>
      <c r="I29"/>
      <c r="J29"/>
      <c r="K29"/>
      <c r="L29"/>
      <c r="M29"/>
      <c r="N29"/>
      <c r="O29"/>
    </row>
    <row r="30" spans="1:15" x14ac:dyDescent="0.35">
      <c r="A30" s="28"/>
      <c r="B30"/>
      <c r="C30" s="12"/>
      <c r="E30" s="2"/>
      <c r="F30" s="2"/>
      <c r="G30" s="2"/>
      <c r="I30"/>
      <c r="J30"/>
      <c r="K30"/>
      <c r="L30"/>
      <c r="M30"/>
      <c r="N30"/>
      <c r="O30"/>
    </row>
    <row r="31" spans="1:15" x14ac:dyDescent="0.35">
      <c r="A31" s="28"/>
      <c r="B31"/>
      <c r="C31" s="12"/>
      <c r="E31" s="2"/>
      <c r="F31" s="2"/>
      <c r="G31" s="2"/>
      <c r="I31"/>
      <c r="J31"/>
      <c r="K31"/>
      <c r="L31"/>
      <c r="M31"/>
      <c r="N31"/>
      <c r="O31"/>
    </row>
    <row r="32" spans="1:15" x14ac:dyDescent="0.35">
      <c r="A32" s="28"/>
      <c r="B32"/>
      <c r="C32" s="12"/>
      <c r="E32" s="2"/>
      <c r="F32" s="2"/>
      <c r="G32" s="2"/>
      <c r="I32"/>
      <c r="J32"/>
      <c r="K32"/>
      <c r="L32"/>
      <c r="M32"/>
      <c r="N32"/>
      <c r="O32"/>
    </row>
    <row r="33" spans="1:15" x14ac:dyDescent="0.35">
      <c r="A33" s="28"/>
      <c r="B33"/>
      <c r="C33" s="12"/>
      <c r="E33" s="2"/>
      <c r="F33" s="2"/>
      <c r="G33" s="2"/>
      <c r="I33"/>
      <c r="J33"/>
      <c r="K33"/>
      <c r="L33"/>
      <c r="M33"/>
      <c r="N33"/>
      <c r="O33"/>
    </row>
    <row r="34" spans="1:15" x14ac:dyDescent="0.35">
      <c r="A34" s="28"/>
      <c r="B34"/>
      <c r="C34" s="12"/>
      <c r="E34" s="2"/>
      <c r="F34" s="2"/>
      <c r="G34" s="2"/>
      <c r="I34"/>
      <c r="J34"/>
      <c r="K34"/>
      <c r="L34"/>
      <c r="M34"/>
      <c r="N34"/>
      <c r="O34"/>
    </row>
    <row r="35" spans="1:15" x14ac:dyDescent="0.35">
      <c r="A35" s="28"/>
      <c r="B35"/>
      <c r="C35" s="12"/>
      <c r="E35" s="2"/>
      <c r="F35" s="12"/>
      <c r="G35" s="2"/>
      <c r="J35" s="2"/>
      <c r="L35"/>
      <c r="M35"/>
      <c r="N35"/>
      <c r="O35"/>
    </row>
    <row r="36" spans="1:15" x14ac:dyDescent="0.35">
      <c r="A36" s="28"/>
      <c r="B36"/>
      <c r="C36" s="12"/>
      <c r="E36" s="2"/>
      <c r="F36" s="12"/>
      <c r="G36" s="2"/>
      <c r="J36" s="2"/>
      <c r="L36"/>
      <c r="M36"/>
      <c r="N36"/>
      <c r="O36"/>
    </row>
    <row r="37" spans="1:15" x14ac:dyDescent="0.35">
      <c r="A37" s="28"/>
      <c r="B37"/>
      <c r="C37" s="12"/>
      <c r="E37" s="2"/>
      <c r="F37" s="12"/>
      <c r="G37" s="2"/>
      <c r="J37" s="2"/>
      <c r="L37"/>
      <c r="M37"/>
      <c r="N37"/>
      <c r="O37"/>
    </row>
    <row r="38" spans="1:15" x14ac:dyDescent="0.35">
      <c r="A38" s="28"/>
      <c r="B38"/>
      <c r="C38" s="12"/>
      <c r="E38" s="2"/>
      <c r="F38" s="12"/>
      <c r="G38" s="2"/>
      <c r="J38" s="2"/>
      <c r="L38"/>
      <c r="M38"/>
      <c r="N38"/>
      <c r="O38"/>
    </row>
    <row r="39" spans="1:15" x14ac:dyDescent="0.35">
      <c r="A39" s="28"/>
      <c r="B39"/>
      <c r="C39" s="12"/>
      <c r="E39" s="2"/>
      <c r="F39" s="12"/>
      <c r="G39" s="2"/>
      <c r="J39" s="2"/>
      <c r="L39"/>
      <c r="M39"/>
      <c r="N39"/>
      <c r="O39"/>
    </row>
    <row r="40" spans="1:15" x14ac:dyDescent="0.35">
      <c r="A40" s="28"/>
      <c r="B40"/>
      <c r="C40" s="12"/>
      <c r="E40" s="2"/>
      <c r="F40" s="12"/>
      <c r="G40" s="2"/>
      <c r="J40" s="2"/>
      <c r="L40"/>
      <c r="M40"/>
      <c r="N40"/>
      <c r="O40"/>
    </row>
    <row r="41" spans="1:15" x14ac:dyDescent="0.35">
      <c r="A41" s="28"/>
      <c r="B41"/>
      <c r="C41" s="12"/>
      <c r="E41" s="2"/>
      <c r="F41" s="12"/>
      <c r="G41" s="2"/>
      <c r="J41" s="2"/>
      <c r="L41"/>
      <c r="M41"/>
      <c r="N41"/>
      <c r="O41"/>
    </row>
    <row r="42" spans="1:15" x14ac:dyDescent="0.35">
      <c r="A42" s="28"/>
      <c r="B42"/>
      <c r="C42" s="12"/>
      <c r="E42" s="2"/>
      <c r="F42" s="12"/>
      <c r="G42" s="2"/>
      <c r="J42" s="2"/>
      <c r="L42"/>
      <c r="M42"/>
      <c r="N42"/>
      <c r="O42"/>
    </row>
    <row r="43" spans="1:15" x14ac:dyDescent="0.35">
      <c r="A43" s="28"/>
      <c r="B43"/>
      <c r="C43" s="12"/>
      <c r="E43" s="2"/>
      <c r="F43" s="12"/>
      <c r="G43" s="2"/>
      <c r="J43" s="2"/>
      <c r="L43"/>
      <c r="M43"/>
      <c r="N43"/>
      <c r="O43"/>
    </row>
    <row r="44" spans="1:15" x14ac:dyDescent="0.35">
      <c r="A44" s="28"/>
      <c r="B44"/>
      <c r="C44" s="12"/>
      <c r="E44" s="2"/>
      <c r="F44" s="12"/>
      <c r="G44" s="2"/>
      <c r="J44" s="2"/>
      <c r="L44"/>
      <c r="M44"/>
      <c r="N44"/>
      <c r="O44"/>
    </row>
    <row r="45" spans="1:15" x14ac:dyDescent="0.35">
      <c r="A45" s="28"/>
      <c r="B45"/>
      <c r="C45" s="12"/>
      <c r="E45" s="2"/>
      <c r="F45" s="12"/>
      <c r="G45" s="2"/>
      <c r="J45" s="2"/>
      <c r="L45"/>
      <c r="M45"/>
      <c r="N45"/>
      <c r="O45"/>
    </row>
    <row r="46" spans="1:15" x14ac:dyDescent="0.35">
      <c r="A46" s="28"/>
      <c r="B46"/>
      <c r="C46" s="12"/>
      <c r="E46" s="2"/>
      <c r="F46" s="12"/>
      <c r="G46" s="2"/>
      <c r="J46" s="2"/>
      <c r="L46"/>
      <c r="M46"/>
      <c r="N46"/>
      <c r="O46"/>
    </row>
    <row r="47" spans="1:15" x14ac:dyDescent="0.35">
      <c r="A47" s="28"/>
      <c r="B47"/>
      <c r="C47" s="12"/>
      <c r="E47" s="2"/>
      <c r="F47" s="12"/>
      <c r="G47" s="2"/>
      <c r="J47" s="2"/>
      <c r="L47"/>
      <c r="M47"/>
      <c r="N47"/>
      <c r="O47"/>
    </row>
    <row r="48" spans="1:15" x14ac:dyDescent="0.35">
      <c r="A48" s="28"/>
      <c r="B48"/>
      <c r="C48" s="12"/>
      <c r="E48" s="2"/>
      <c r="F48" s="12"/>
      <c r="G48" s="2"/>
      <c r="J48" s="2"/>
      <c r="L48"/>
      <c r="M48"/>
      <c r="N48"/>
      <c r="O48"/>
    </row>
    <row r="49" spans="1:15" x14ac:dyDescent="0.35">
      <c r="A49" s="28"/>
      <c r="B49"/>
      <c r="C49" s="12"/>
      <c r="E49" s="2"/>
      <c r="F49" s="12"/>
      <c r="G49" s="2"/>
      <c r="J49" s="2"/>
      <c r="L49"/>
      <c r="M49"/>
      <c r="N49"/>
      <c r="O49"/>
    </row>
    <row r="50" spans="1:15" x14ac:dyDescent="0.35">
      <c r="A50" s="2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opLeftCell="E45" workbookViewId="0">
      <selection activeCell="G43" sqref="G43"/>
    </sheetView>
  </sheetViews>
  <sheetFormatPr defaultRowHeight="14.5" x14ac:dyDescent="0.35"/>
  <cols>
    <col min="1" max="1" width="9" style="2" customWidth="1"/>
    <col min="2" max="2" width="9.08984375" style="2" customWidth="1"/>
    <col min="3" max="3" width="21" style="17" customWidth="1"/>
    <col min="4" max="4" width="14.54296875" style="12" customWidth="1"/>
    <col min="5" max="5" width="21" style="17" customWidth="1"/>
    <col min="6" max="6" width="9.90625" customWidth="1"/>
    <col min="7" max="7" width="17.90625" style="2" customWidth="1"/>
    <col min="8" max="8" width="16" style="12" customWidth="1"/>
    <col min="9" max="9" width="17.08984375" style="12" customWidth="1"/>
    <col min="10" max="10" width="16.6328125" style="2" customWidth="1"/>
    <col min="11" max="11" width="27.1796875" style="2" bestFit="1" customWidth="1"/>
    <col min="12" max="12" width="23" style="2" customWidth="1"/>
    <col min="13" max="13" width="10.08984375" style="37" bestFit="1" customWidth="1"/>
    <col min="15" max="15" width="10.08984375" bestFit="1" customWidth="1"/>
  </cols>
  <sheetData>
    <row r="1" spans="1:15" x14ac:dyDescent="0.35">
      <c r="A1" s="20" t="s">
        <v>32</v>
      </c>
      <c r="B1" s="20" t="s">
        <v>107</v>
      </c>
      <c r="C1" s="21" t="s">
        <v>78</v>
      </c>
      <c r="D1" s="22" t="s">
        <v>108</v>
      </c>
      <c r="E1" s="21" t="s">
        <v>79</v>
      </c>
      <c r="F1" s="23" t="s">
        <v>144</v>
      </c>
      <c r="G1" s="24" t="s">
        <v>151</v>
      </c>
      <c r="H1" s="38" t="s">
        <v>152</v>
      </c>
      <c r="I1" s="25" t="s">
        <v>115</v>
      </c>
      <c r="J1" s="26" t="s">
        <v>116</v>
      </c>
      <c r="K1" s="26" t="s">
        <v>184</v>
      </c>
      <c r="L1" s="26" t="s">
        <v>112</v>
      </c>
      <c r="M1" s="36" t="s">
        <v>113</v>
      </c>
      <c r="N1" s="27" t="s">
        <v>114</v>
      </c>
      <c r="O1" t="s">
        <v>186</v>
      </c>
    </row>
    <row r="2" spans="1:15" x14ac:dyDescent="0.35">
      <c r="A2" s="3" t="s">
        <v>38</v>
      </c>
      <c r="B2" s="3">
        <v>1</v>
      </c>
      <c r="C2" s="19">
        <v>45871</v>
      </c>
      <c r="D2" s="13">
        <f>Loan!J2/Loan!H2</f>
        <v>19000</v>
      </c>
      <c r="E2" s="19">
        <v>45871</v>
      </c>
      <c r="F2" t="s">
        <v>145</v>
      </c>
      <c r="G2" s="12">
        <f>D2</f>
        <v>19000</v>
      </c>
      <c r="H2" s="12">
        <f>MAX(0,G2-D2)</f>
        <v>0</v>
      </c>
      <c r="I2" s="12">
        <f>SUMIFS(D2:D2,A2:A2,A2)</f>
        <v>19000</v>
      </c>
      <c r="J2" s="12">
        <f>G2</f>
        <v>19000</v>
      </c>
      <c r="K2" s="10">
        <f>I2-J2</f>
        <v>0</v>
      </c>
      <c r="L2" s="2">
        <v>0</v>
      </c>
      <c r="M2" s="37">
        <f>MAX(0,L43-Table1[[#This Row],[due_date]])</f>
        <v>0</v>
      </c>
      <c r="N2" t="str">
        <f>IF(M2="","Current",IF(M2&lt;=0,"Current",IF(M2&lt;=7,"1–7",IF(M2&lt;=30,"8–30",IF(M2&lt;=60,"31–60",IF(M2&lt;=90,"61–90","90+"))))))</f>
        <v>Current</v>
      </c>
      <c r="O2" s="17">
        <v>45969</v>
      </c>
    </row>
    <row r="3" spans="1:15" x14ac:dyDescent="0.35">
      <c r="A3" s="3" t="s">
        <v>38</v>
      </c>
      <c r="B3" s="3">
        <v>2</v>
      </c>
      <c r="C3" s="19">
        <v>45902</v>
      </c>
      <c r="D3" s="13">
        <f>Loan!J2/Loan!H2</f>
        <v>19000</v>
      </c>
      <c r="E3" s="19">
        <v>45902</v>
      </c>
      <c r="F3" t="s">
        <v>145</v>
      </c>
      <c r="G3" s="12">
        <f>D3</f>
        <v>19000</v>
      </c>
      <c r="H3" s="12">
        <f>MAX(0,D3-G3)</f>
        <v>0</v>
      </c>
      <c r="I3" s="12">
        <f>SUMIFS(D2:D3,A2:A3,A3)</f>
        <v>38000</v>
      </c>
      <c r="J3" s="12">
        <f>G2+G3</f>
        <v>38000</v>
      </c>
      <c r="K3" s="10">
        <f t="shared" ref="K3:K4" si="0">I3-J3</f>
        <v>0</v>
      </c>
      <c r="L3" s="2">
        <v>0</v>
      </c>
      <c r="M3" s="37">
        <f>MAX(0,L44-Table1[[#This Row],[due_date]])</f>
        <v>0</v>
      </c>
      <c r="N3" t="str">
        <f t="shared" ref="N3:N64" si="1">IF(M3="","Current",IF(M3&lt;=0,"Current",IF(M3&lt;=7,"1–7",IF(M3&lt;=30,"8–30",IF(M3&lt;=60,"31–60",IF(M3&lt;=90,"61–90","90+"))))))</f>
        <v>Current</v>
      </c>
      <c r="O3" s="17">
        <v>45970</v>
      </c>
    </row>
    <row r="4" spans="1:15" x14ac:dyDescent="0.35">
      <c r="A4" s="3" t="s">
        <v>38</v>
      </c>
      <c r="B4" s="3">
        <v>3</v>
      </c>
      <c r="C4" s="19">
        <v>45932</v>
      </c>
      <c r="D4" s="13">
        <f>Loan!J2/Loan!H2</f>
        <v>19000</v>
      </c>
      <c r="E4" s="19">
        <v>45932</v>
      </c>
      <c r="F4" t="s">
        <v>145</v>
      </c>
      <c r="G4" s="12">
        <f>D4</f>
        <v>19000</v>
      </c>
      <c r="H4" s="12">
        <f>MAX(0,D4-G4)</f>
        <v>0</v>
      </c>
      <c r="I4" s="12">
        <f>SUMIFS(D2:D4,A2:A4,A4)</f>
        <v>57000</v>
      </c>
      <c r="J4" s="12">
        <f>G2+G3+G4</f>
        <v>57000</v>
      </c>
      <c r="K4" s="10">
        <f t="shared" si="0"/>
        <v>0</v>
      </c>
      <c r="L4" s="2">
        <v>0</v>
      </c>
      <c r="M4" s="37">
        <f>MAX(0,L45-Table1[[#This Row],[due_date]])</f>
        <v>0</v>
      </c>
      <c r="N4" t="str">
        <f t="shared" si="1"/>
        <v>Current</v>
      </c>
      <c r="O4" s="17">
        <v>45971</v>
      </c>
    </row>
    <row r="5" spans="1:15" x14ac:dyDescent="0.35">
      <c r="A5" s="3" t="s">
        <v>40</v>
      </c>
      <c r="B5" s="3">
        <v>1</v>
      </c>
      <c r="C5" s="19">
        <v>45903</v>
      </c>
      <c r="D5" s="13">
        <f>Loan!J3/Loan!H3</f>
        <v>27133.333333333332</v>
      </c>
      <c r="E5" s="19">
        <v>45903</v>
      </c>
      <c r="F5" t="s">
        <v>145</v>
      </c>
      <c r="G5" s="12">
        <f>D5</f>
        <v>27133.333333333332</v>
      </c>
      <c r="H5" s="12">
        <f>MAX(0,D5-G5)</f>
        <v>0</v>
      </c>
      <c r="I5" s="12">
        <f>SUMIFS(D5:D5,A5,A5:A5)</f>
        <v>27133.333333333332</v>
      </c>
      <c r="J5" s="12">
        <f>Table1[[#This Row],[cumulative_due]]</f>
        <v>27133.333333333332</v>
      </c>
      <c r="K5" s="10">
        <f>Table1[[#This Row],[cumulative_due]]-Table1[[#This Row],[cumulative_paid]]</f>
        <v>0</v>
      </c>
      <c r="L5" s="2">
        <v>0</v>
      </c>
      <c r="M5" s="37">
        <f>MAX(0,L46-Table1[[#This Row],[due_date]])</f>
        <v>0</v>
      </c>
      <c r="N5" t="str">
        <f t="shared" si="1"/>
        <v>Current</v>
      </c>
      <c r="O5" s="17">
        <v>45972</v>
      </c>
    </row>
    <row r="6" spans="1:15" x14ac:dyDescent="0.35">
      <c r="A6" s="3" t="s">
        <v>40</v>
      </c>
      <c r="B6" s="3">
        <v>2</v>
      </c>
      <c r="C6" s="19">
        <v>45933</v>
      </c>
      <c r="D6" s="13">
        <f>D5</f>
        <v>27133.333333333332</v>
      </c>
      <c r="E6" s="19">
        <v>45933</v>
      </c>
      <c r="F6" t="s">
        <v>145</v>
      </c>
      <c r="G6" s="12">
        <f t="shared" ref="G6:G7" si="2">D6</f>
        <v>27133.333333333332</v>
      </c>
      <c r="H6" s="12">
        <f t="shared" ref="H6:H7" si="3">MAX(0,D6-G6)</f>
        <v>0</v>
      </c>
      <c r="I6" s="12">
        <f>SUMIFS(D5:D6,A5:A6,A5)</f>
        <v>54266.666666666664</v>
      </c>
      <c r="J6" s="12">
        <f>Table1[[#This Row],[cumulative_due]]</f>
        <v>54266.666666666664</v>
      </c>
      <c r="K6" s="10">
        <f>Table1[[#This Row],[cumulative_due]]-Table1[[#This Row],[cumulative_paid]]</f>
        <v>0</v>
      </c>
      <c r="L6" s="2">
        <v>0</v>
      </c>
      <c r="M6" s="37">
        <f>MAX(0,L47-Table1[[#This Row],[due_date]])</f>
        <v>0</v>
      </c>
      <c r="N6" t="str">
        <f t="shared" si="1"/>
        <v>Current</v>
      </c>
      <c r="O6" s="17">
        <v>45973</v>
      </c>
    </row>
    <row r="7" spans="1:15" x14ac:dyDescent="0.35">
      <c r="A7" s="3" t="s">
        <v>40</v>
      </c>
      <c r="B7" s="3">
        <v>3</v>
      </c>
      <c r="C7" s="19">
        <v>45964</v>
      </c>
      <c r="D7" s="13">
        <f>D5</f>
        <v>27133.333333333332</v>
      </c>
      <c r="E7" s="19">
        <v>45964</v>
      </c>
      <c r="F7" t="s">
        <v>145</v>
      </c>
      <c r="G7" s="12">
        <f t="shared" si="2"/>
        <v>27133.333333333332</v>
      </c>
      <c r="H7" s="12">
        <f t="shared" si="3"/>
        <v>0</v>
      </c>
      <c r="I7" s="12">
        <f>SUMIFS(D5:D7,A5:A7,A7)</f>
        <v>81400</v>
      </c>
      <c r="J7" s="12">
        <f>Table1[[#This Row],[cumulative_due]]</f>
        <v>81400</v>
      </c>
      <c r="K7" s="10">
        <f>Table1[[#This Row],[cumulative_due]]-Table1[[#This Row],[cumulative_paid]]</f>
        <v>0</v>
      </c>
      <c r="L7" s="2">
        <v>0</v>
      </c>
      <c r="M7" s="37">
        <f>MAX(0,L48-Table1[[#This Row],[due_date]])</f>
        <v>0</v>
      </c>
      <c r="N7" t="str">
        <f t="shared" si="1"/>
        <v>Current</v>
      </c>
      <c r="O7" s="17">
        <v>45974</v>
      </c>
    </row>
    <row r="8" spans="1:15" x14ac:dyDescent="0.35">
      <c r="A8" s="14" t="s">
        <v>42</v>
      </c>
      <c r="B8" s="14">
        <v>1</v>
      </c>
      <c r="C8" s="19">
        <v>45873</v>
      </c>
      <c r="D8" s="15">
        <f>Loan!J4/Loan!H4</f>
        <v>32666.666666666668</v>
      </c>
      <c r="E8" s="19">
        <v>45873</v>
      </c>
      <c r="F8" t="s">
        <v>147</v>
      </c>
      <c r="G8" s="12">
        <v>13000</v>
      </c>
      <c r="H8" s="12">
        <f>D8-G8</f>
        <v>19666.666666666668</v>
      </c>
      <c r="I8" s="12">
        <f>SUMIFS(D8:D8,A8:A8,A8)</f>
        <v>32666.666666666668</v>
      </c>
      <c r="J8" s="12">
        <f>G8</f>
        <v>13000</v>
      </c>
      <c r="K8" s="10">
        <f>I8-J8</f>
        <v>19666.666666666668</v>
      </c>
      <c r="M8" s="37">
        <f>MAX(0,L62-Table1[[#This Row],[due_date]])</f>
        <v>0</v>
      </c>
      <c r="N8" t="str">
        <f t="shared" si="1"/>
        <v>Current</v>
      </c>
      <c r="O8" s="17">
        <v>45975</v>
      </c>
    </row>
    <row r="9" spans="1:15" x14ac:dyDescent="0.35">
      <c r="A9" s="14" t="s">
        <v>42</v>
      </c>
      <c r="B9" s="14">
        <v>2</v>
      </c>
      <c r="C9" s="19">
        <v>45904</v>
      </c>
      <c r="D9" s="15">
        <f>D8</f>
        <v>32666.666666666668</v>
      </c>
      <c r="E9" s="19">
        <v>45904</v>
      </c>
      <c r="F9" t="s">
        <v>147</v>
      </c>
      <c r="G9" s="12">
        <v>10000</v>
      </c>
      <c r="H9" s="12">
        <f>D9-G9</f>
        <v>22666.666666666668</v>
      </c>
      <c r="I9" s="12">
        <f>SUMIFS(D8:D9,A8:A9,A9)</f>
        <v>65333.333333333336</v>
      </c>
      <c r="J9" s="12">
        <f>G8+G9</f>
        <v>23000</v>
      </c>
      <c r="K9" s="10">
        <f>I9-J9</f>
        <v>42333.333333333336</v>
      </c>
      <c r="M9" s="37">
        <f>MAX(0,L62-Table1[[#This Row],[due_date]])</f>
        <v>0</v>
      </c>
      <c r="N9" t="str">
        <f t="shared" si="1"/>
        <v>Current</v>
      </c>
      <c r="O9" s="17">
        <v>45976</v>
      </c>
    </row>
    <row r="10" spans="1:15" x14ac:dyDescent="0.35">
      <c r="A10" s="14" t="s">
        <v>42</v>
      </c>
      <c r="B10" s="14">
        <v>3</v>
      </c>
      <c r="C10" s="19">
        <v>45934</v>
      </c>
      <c r="D10" s="16">
        <f>D8</f>
        <v>32666.666666666668</v>
      </c>
      <c r="E10" s="19">
        <v>45934</v>
      </c>
      <c r="F10" t="s">
        <v>147</v>
      </c>
      <c r="G10" s="12">
        <v>14000</v>
      </c>
      <c r="H10" s="12">
        <f t="shared" ref="H10" si="4">D10-G10</f>
        <v>18666.666666666668</v>
      </c>
      <c r="I10" s="12">
        <f>SUMIFS(D8:D10,A8:A10,A10)</f>
        <v>98000</v>
      </c>
      <c r="J10" s="12">
        <f>G8+G9+G10</f>
        <v>37000</v>
      </c>
      <c r="K10" s="10">
        <f>I10-J10</f>
        <v>61000</v>
      </c>
      <c r="M10" s="37">
        <f>MAX(0,L62-Table1[[#This Row],[due_date]])</f>
        <v>0</v>
      </c>
      <c r="N10" t="str">
        <f t="shared" si="1"/>
        <v>Current</v>
      </c>
      <c r="O10" s="17">
        <v>45977</v>
      </c>
    </row>
    <row r="11" spans="1:15" x14ac:dyDescent="0.35">
      <c r="A11" s="3" t="s">
        <v>44</v>
      </c>
      <c r="B11" s="3">
        <v>1</v>
      </c>
      <c r="C11" s="19">
        <v>45937</v>
      </c>
      <c r="D11" s="12">
        <f>Loan!J5/Loan!H5</f>
        <v>42066.666666666664</v>
      </c>
      <c r="E11" s="19" t="s">
        <v>143</v>
      </c>
      <c r="F11" t="s">
        <v>148</v>
      </c>
      <c r="G11" s="12">
        <v>0</v>
      </c>
      <c r="H11" s="12">
        <f>D11-G11</f>
        <v>42066.666666666664</v>
      </c>
      <c r="I11" s="12">
        <f>SUMIFS(D11:D11,A11:A11,A11)</f>
        <v>42066.666666666664</v>
      </c>
      <c r="J11" s="12">
        <f>G11</f>
        <v>0</v>
      </c>
      <c r="K11" s="12">
        <f>I11-J11</f>
        <v>42066.666666666664</v>
      </c>
      <c r="M11" s="37">
        <f>MAX(0,L62-Table1[[#This Row],[due_date]])</f>
        <v>0</v>
      </c>
      <c r="N11" t="str">
        <f t="shared" si="1"/>
        <v>Current</v>
      </c>
      <c r="O11" s="17">
        <v>45978</v>
      </c>
    </row>
    <row r="12" spans="1:15" x14ac:dyDescent="0.35">
      <c r="A12" s="3" t="s">
        <v>44</v>
      </c>
      <c r="B12" s="3">
        <v>2</v>
      </c>
      <c r="C12" s="19">
        <v>45968</v>
      </c>
      <c r="D12" s="12">
        <f>D11</f>
        <v>42066.666666666664</v>
      </c>
      <c r="E12" s="19" t="s">
        <v>143</v>
      </c>
      <c r="F12" t="s">
        <v>148</v>
      </c>
      <c r="G12" s="12">
        <v>0</v>
      </c>
      <c r="H12" s="12">
        <f t="shared" ref="H12:H13" si="5">D12-G12</f>
        <v>42066.666666666664</v>
      </c>
      <c r="I12" s="12">
        <f>SUMIFS(D11:D12,A11:A12,A12)</f>
        <v>84133.333333333328</v>
      </c>
      <c r="J12" s="12">
        <f t="shared" ref="J12:J13" si="6">G12</f>
        <v>0</v>
      </c>
      <c r="K12" s="12">
        <f t="shared" ref="K12:K13" si="7">I12-J12</f>
        <v>84133.333333333328</v>
      </c>
      <c r="M12" s="37">
        <f>MAX(0,L65-Table1[[#This Row],[due_date]])</f>
        <v>0</v>
      </c>
      <c r="N12" t="str">
        <f t="shared" si="1"/>
        <v>Current</v>
      </c>
      <c r="O12" s="17">
        <v>45979</v>
      </c>
    </row>
    <row r="13" spans="1:15" x14ac:dyDescent="0.35">
      <c r="A13" s="3" t="s">
        <v>44</v>
      </c>
      <c r="B13" s="3">
        <v>3</v>
      </c>
      <c r="C13" s="19">
        <v>45998</v>
      </c>
      <c r="D13" s="12">
        <f>D11</f>
        <v>42066.666666666664</v>
      </c>
      <c r="E13" s="19" t="s">
        <v>143</v>
      </c>
      <c r="F13" t="s">
        <v>148</v>
      </c>
      <c r="G13" s="12">
        <v>0</v>
      </c>
      <c r="H13" s="12">
        <f t="shared" si="5"/>
        <v>42066.666666666664</v>
      </c>
      <c r="I13" s="12">
        <f>SUMIFS(D11:D13,A11:A13,A13)</f>
        <v>126200</v>
      </c>
      <c r="J13" s="12">
        <f t="shared" si="6"/>
        <v>0</v>
      </c>
      <c r="K13" s="12">
        <f t="shared" si="7"/>
        <v>126200</v>
      </c>
      <c r="M13" s="37">
        <f>MAX(0,L66-Table1[[#This Row],[due_date]])</f>
        <v>52</v>
      </c>
      <c r="N13" t="str">
        <f t="shared" si="1"/>
        <v>31–60</v>
      </c>
      <c r="O13" s="17">
        <v>45980</v>
      </c>
    </row>
    <row r="14" spans="1:15" x14ac:dyDescent="0.35">
      <c r="A14" s="3" t="s">
        <v>46</v>
      </c>
      <c r="B14" s="3">
        <v>1</v>
      </c>
      <c r="C14" s="19">
        <v>45969</v>
      </c>
      <c r="D14" s="12">
        <f>Loan!J6/Loan!H6</f>
        <v>49533.333333333336</v>
      </c>
      <c r="E14" s="19">
        <v>45938</v>
      </c>
      <c r="F14" t="s">
        <v>149</v>
      </c>
      <c r="G14" s="12">
        <f>D14</f>
        <v>49533.333333333336</v>
      </c>
      <c r="H14" s="12">
        <f>MAX(0,D14-I14)</f>
        <v>0</v>
      </c>
      <c r="I14" s="12">
        <f>SUMIFS(D14:D14,A14:A14,A14)</f>
        <v>49533.333333333336</v>
      </c>
      <c r="J14" s="12">
        <f>I14</f>
        <v>49533.333333333336</v>
      </c>
      <c r="K14" s="10">
        <f>Table1[[#This Row],[cumulative_due]]-Table1[[#This Row],[cumulative_paid]]</f>
        <v>0</v>
      </c>
      <c r="M14" s="37">
        <f>MAX(0,L67-Table1[[#This Row],[due_date]])</f>
        <v>0</v>
      </c>
      <c r="N14" t="str">
        <f t="shared" si="1"/>
        <v>Current</v>
      </c>
      <c r="O14" s="17">
        <v>45981</v>
      </c>
    </row>
    <row r="15" spans="1:15" x14ac:dyDescent="0.35">
      <c r="A15" s="3" t="s">
        <v>46</v>
      </c>
      <c r="B15" s="3">
        <v>2</v>
      </c>
      <c r="C15" s="19">
        <v>45999</v>
      </c>
      <c r="D15" s="12">
        <f>D14</f>
        <v>49533.333333333336</v>
      </c>
      <c r="E15" s="19">
        <v>45969</v>
      </c>
      <c r="F15" t="s">
        <v>149</v>
      </c>
      <c r="G15" s="12">
        <f t="shared" ref="G15:G16" si="8">D15</f>
        <v>49533.333333333336</v>
      </c>
      <c r="H15" s="12">
        <f t="shared" ref="H15" si="9">MAX(0,D15-I15)</f>
        <v>0</v>
      </c>
      <c r="I15" s="12">
        <f>SUMIFS(D15:D16,A15:A16,A15)</f>
        <v>99066.666666666672</v>
      </c>
      <c r="J15" s="12">
        <f t="shared" ref="J15:J16" si="10">I15</f>
        <v>99066.666666666672</v>
      </c>
      <c r="K15" s="10">
        <f>Table1[[#This Row],[cumulative_due]]-Table1[[#This Row],[cumulative_paid]]</f>
        <v>0</v>
      </c>
      <c r="M15" s="37">
        <f>MAX(0,L68-Table1[[#This Row],[due_date]])</f>
        <v>0</v>
      </c>
      <c r="N15" t="str">
        <f t="shared" si="1"/>
        <v>Current</v>
      </c>
      <c r="O15" s="17">
        <v>45982</v>
      </c>
    </row>
    <row r="16" spans="1:15" x14ac:dyDescent="0.35">
      <c r="A16" s="3" t="s">
        <v>46</v>
      </c>
      <c r="B16" s="3">
        <v>3</v>
      </c>
      <c r="C16" s="19">
        <v>46030</v>
      </c>
      <c r="D16" s="12">
        <f>D15</f>
        <v>49533.333333333336</v>
      </c>
      <c r="E16" s="19">
        <v>45999</v>
      </c>
      <c r="F16" t="s">
        <v>149</v>
      </c>
      <c r="G16" s="12">
        <f t="shared" si="8"/>
        <v>49533.333333333336</v>
      </c>
      <c r="H16" s="12">
        <f>MAX(0,D16-I16)</f>
        <v>0</v>
      </c>
      <c r="I16" s="12">
        <f>SUMIFS(D14:D16,A14:A16,A16)</f>
        <v>148600</v>
      </c>
      <c r="J16" s="12">
        <f t="shared" si="10"/>
        <v>148600</v>
      </c>
      <c r="K16" s="10">
        <f>Table1[[#This Row],[cumulative_due]]-Table1[[#This Row],[cumulative_paid]]</f>
        <v>0</v>
      </c>
      <c r="M16" s="37">
        <f>MAX(0,L69-Table1[[#This Row],[due_date]])</f>
        <v>0</v>
      </c>
      <c r="N16" t="str">
        <f t="shared" si="1"/>
        <v>Current</v>
      </c>
      <c r="O16" s="17">
        <v>45983</v>
      </c>
    </row>
    <row r="17" spans="1:15" x14ac:dyDescent="0.35">
      <c r="A17" s="3" t="s">
        <v>48</v>
      </c>
      <c r="B17" s="3">
        <v>1</v>
      </c>
      <c r="C17" s="19">
        <v>45878</v>
      </c>
      <c r="D17" s="12">
        <f>Loan!J7/Loan!H7</f>
        <v>57666.666666666664</v>
      </c>
      <c r="E17" s="19" t="s">
        <v>143</v>
      </c>
      <c r="F17" t="s">
        <v>148</v>
      </c>
      <c r="G17" s="12">
        <v>0</v>
      </c>
      <c r="H17" s="12">
        <f>D17-G17</f>
        <v>57666.666666666664</v>
      </c>
      <c r="I17" s="12">
        <f t="shared" ref="I17:I62" si="11">SUMIFS(D15:D17,A15:A17,A17)</f>
        <v>57666.666666666664</v>
      </c>
      <c r="J17" s="12">
        <f>MAX(0,G17-I17)</f>
        <v>0</v>
      </c>
      <c r="K17" s="12">
        <f>I17-J17</f>
        <v>57666.666666666664</v>
      </c>
      <c r="M17" s="37">
        <f>MAX(0,L70-Table1[[#This Row],[due_date]])</f>
        <v>0</v>
      </c>
      <c r="N17" t="str">
        <f t="shared" si="1"/>
        <v>Current</v>
      </c>
      <c r="O17" s="17">
        <v>45984</v>
      </c>
    </row>
    <row r="18" spans="1:15" x14ac:dyDescent="0.35">
      <c r="A18" s="3" t="s">
        <v>48</v>
      </c>
      <c r="B18" s="3">
        <v>2</v>
      </c>
      <c r="C18" s="19">
        <v>45909</v>
      </c>
      <c r="D18" s="12">
        <f>Loan!J7/Loan!H7</f>
        <v>57666.666666666664</v>
      </c>
      <c r="E18" s="19">
        <v>45909</v>
      </c>
      <c r="F18" t="s">
        <v>150</v>
      </c>
      <c r="G18" s="12">
        <f>H17+D18</f>
        <v>115333.33333333333</v>
      </c>
      <c r="H18" s="12">
        <f>Table1[[#This Row],[Payment_amount]]-D17-Table1[[#This Row],[amount_due]]</f>
        <v>0</v>
      </c>
      <c r="I18" s="12">
        <f t="shared" si="11"/>
        <v>115333.33333333333</v>
      </c>
      <c r="J18" s="12">
        <f>Table1[[#This Row],[cumulative_due]]</f>
        <v>115333.33333333333</v>
      </c>
      <c r="K18" s="10">
        <f>Table1[[#This Row],[cumulative_due]]-Table1[[#This Row],[cumulative_paid]]</f>
        <v>0</v>
      </c>
      <c r="M18" s="37">
        <f>MAX(0,L71-Table1[[#This Row],[due_date]])</f>
        <v>0</v>
      </c>
      <c r="N18" t="str">
        <f t="shared" si="1"/>
        <v>Current</v>
      </c>
      <c r="O18" s="17">
        <v>45985</v>
      </c>
    </row>
    <row r="19" spans="1:15" x14ac:dyDescent="0.35">
      <c r="A19" s="3" t="s">
        <v>48</v>
      </c>
      <c r="B19" s="3">
        <v>3</v>
      </c>
      <c r="C19" s="19">
        <v>45939</v>
      </c>
      <c r="D19" s="12">
        <f>Loan!J7/Loan!H7</f>
        <v>57666.666666666664</v>
      </c>
      <c r="E19" s="19">
        <v>46000</v>
      </c>
      <c r="F19" t="s">
        <v>146</v>
      </c>
      <c r="G19" s="12">
        <f>Table1[[#This Row],[amount_due]]</f>
        <v>57666.666666666664</v>
      </c>
      <c r="H19" s="12">
        <f>Table1[[#This Row],[amount_due]]-Table1[[#This Row],[Payment_amount]]</f>
        <v>0</v>
      </c>
      <c r="I19" s="12">
        <f t="shared" si="11"/>
        <v>173000</v>
      </c>
      <c r="J19" s="12">
        <f>Table1[[#This Row],[cumulative_due]]</f>
        <v>173000</v>
      </c>
      <c r="K19" s="10">
        <f>Table1[[#This Row],[cumulative_due]]-Table1[[#This Row],[cumulative_paid]]</f>
        <v>0</v>
      </c>
      <c r="N19" t="str">
        <f t="shared" si="1"/>
        <v>Current</v>
      </c>
      <c r="O19" s="17">
        <v>45986</v>
      </c>
    </row>
    <row r="20" spans="1:15" x14ac:dyDescent="0.35">
      <c r="A20" s="3" t="s">
        <v>50</v>
      </c>
      <c r="B20" s="3">
        <v>1</v>
      </c>
      <c r="C20" s="19">
        <v>45879</v>
      </c>
      <c r="D20" s="12">
        <f>Loan!J8/Loan!H8</f>
        <v>64300</v>
      </c>
      <c r="E20" s="19">
        <v>45879</v>
      </c>
      <c r="F20" t="s">
        <v>145</v>
      </c>
      <c r="G20" s="12">
        <f>D20</f>
        <v>64300</v>
      </c>
      <c r="H20" s="12">
        <f>MAX(0,I20-D20)</f>
        <v>0</v>
      </c>
      <c r="I20" s="12">
        <f t="shared" si="11"/>
        <v>64300</v>
      </c>
      <c r="J20" s="12">
        <f>Table1[[#This Row],[cumulative_due]]</f>
        <v>64300</v>
      </c>
      <c r="K20" s="10">
        <f>Table1[[#This Row],[cumulative_due]]-Table1[[#This Row],[cumulative_paid]]</f>
        <v>0</v>
      </c>
      <c r="L20" s="2">
        <v>0</v>
      </c>
      <c r="M20" s="37">
        <f>MAX(0,L61-Table1[[#This Row],[due_date]])</f>
        <v>0</v>
      </c>
      <c r="N20" t="str">
        <f t="shared" si="1"/>
        <v>Current</v>
      </c>
      <c r="O20" s="17">
        <v>45987</v>
      </c>
    </row>
    <row r="21" spans="1:15" x14ac:dyDescent="0.35">
      <c r="A21" s="3" t="s">
        <v>50</v>
      </c>
      <c r="B21" s="3">
        <v>2</v>
      </c>
      <c r="C21" s="19">
        <v>45910</v>
      </c>
      <c r="D21" s="12">
        <f>D20</f>
        <v>64300</v>
      </c>
      <c r="E21" s="19">
        <v>45910</v>
      </c>
      <c r="F21" t="s">
        <v>145</v>
      </c>
      <c r="G21" s="12">
        <f>D21</f>
        <v>64300</v>
      </c>
      <c r="H21" s="12">
        <f>MAX(0,G21-D21)</f>
        <v>0</v>
      </c>
      <c r="I21" s="12">
        <f t="shared" si="11"/>
        <v>128600</v>
      </c>
      <c r="J21" s="12">
        <f>Table1[[#This Row],[cumulative_due]]</f>
        <v>128600</v>
      </c>
      <c r="K21" s="10">
        <f>Table1[[#This Row],[cumulative_due]]-Table1[[#This Row],[cumulative_paid]]</f>
        <v>0</v>
      </c>
      <c r="L21" s="2">
        <v>0</v>
      </c>
      <c r="M21" s="37">
        <f>MAX(0,L62-Table1[[#This Row],[due_date]])</f>
        <v>0</v>
      </c>
      <c r="N21" t="str">
        <f t="shared" si="1"/>
        <v>Current</v>
      </c>
      <c r="O21" s="17">
        <v>45988</v>
      </c>
    </row>
    <row r="22" spans="1:15" x14ac:dyDescent="0.35">
      <c r="A22" s="3" t="s">
        <v>50</v>
      </c>
      <c r="B22" s="3">
        <v>3</v>
      </c>
      <c r="C22" s="19">
        <v>45940</v>
      </c>
      <c r="D22" s="12">
        <f>D21</f>
        <v>64300</v>
      </c>
      <c r="E22" s="19">
        <v>45940</v>
      </c>
      <c r="F22" t="s">
        <v>145</v>
      </c>
      <c r="G22" s="12">
        <f>D22</f>
        <v>64300</v>
      </c>
      <c r="H22" s="12">
        <f>MAX(0,G22-D22)</f>
        <v>0</v>
      </c>
      <c r="I22" s="12">
        <f t="shared" si="11"/>
        <v>192900</v>
      </c>
      <c r="J22" s="12">
        <f>Table1[[#This Row],[cumulative_due]]</f>
        <v>192900</v>
      </c>
      <c r="K22" s="10">
        <f>Table1[[#This Row],[cumulative_due]]-Table1[[#This Row],[cumulative_paid]]</f>
        <v>0</v>
      </c>
      <c r="L22" s="2">
        <v>0</v>
      </c>
      <c r="M22" s="37">
        <f>MAX(0,L65-Table1[[#This Row],[due_date]])</f>
        <v>0</v>
      </c>
      <c r="N22" t="str">
        <f t="shared" si="1"/>
        <v>Current</v>
      </c>
      <c r="O22" s="17">
        <v>45989</v>
      </c>
    </row>
    <row r="23" spans="1:15" x14ac:dyDescent="0.35">
      <c r="A23" s="3" t="s">
        <v>52</v>
      </c>
      <c r="B23" s="3">
        <v>1</v>
      </c>
      <c r="C23" s="19">
        <v>45880</v>
      </c>
      <c r="D23" s="12">
        <f>Loan!J9/Loan!H9</f>
        <v>22733.333333333332</v>
      </c>
      <c r="E23" s="19">
        <v>45972</v>
      </c>
      <c r="F23" t="s">
        <v>146</v>
      </c>
      <c r="G23" s="12">
        <f>Table1[[#This Row],[amount_due]]</f>
        <v>22733.333333333332</v>
      </c>
      <c r="H23" s="12">
        <f>Table1[[#This Row],[Payment_amount]]-Table1[[#This Row],[amount_due]]</f>
        <v>0</v>
      </c>
      <c r="I23" s="12">
        <f t="shared" si="11"/>
        <v>22733.333333333332</v>
      </c>
      <c r="J23" s="12">
        <f>Table1[[#This Row],[Payment_amount]]</f>
        <v>22733.333333333332</v>
      </c>
      <c r="K23" s="10">
        <f>Table1[[#This Row],[cumulative_due]]-Table1[[#This Row],[cumulative_paid]]</f>
        <v>0</v>
      </c>
      <c r="M23" s="37">
        <f>MAX(0,L66-Table1[[#This Row],[due_date]])</f>
        <v>170</v>
      </c>
      <c r="N23" t="str">
        <f t="shared" si="1"/>
        <v>90+</v>
      </c>
      <c r="O23" s="17">
        <v>46050</v>
      </c>
    </row>
    <row r="24" spans="1:15" x14ac:dyDescent="0.35">
      <c r="A24" s="3" t="s">
        <v>52</v>
      </c>
      <c r="B24" s="3">
        <v>2</v>
      </c>
      <c r="C24" s="19">
        <v>45911</v>
      </c>
      <c r="D24" s="12">
        <f>D23</f>
        <v>22733.333333333332</v>
      </c>
      <c r="E24" s="19">
        <v>46002</v>
      </c>
      <c r="F24" t="s">
        <v>146</v>
      </c>
      <c r="G24" s="12">
        <f>Table1[[#This Row],[amount_due]]</f>
        <v>22733.333333333332</v>
      </c>
      <c r="H24" s="12">
        <f>Table1[[#This Row],[Payment_amount]]-Table1[[#This Row],[amount_due]]</f>
        <v>0</v>
      </c>
      <c r="I24" s="12">
        <f t="shared" si="11"/>
        <v>45466.666666666664</v>
      </c>
      <c r="J24" s="12">
        <f>G23+Table1[[#This Row],[Payment_amount]]</f>
        <v>45466.666666666664</v>
      </c>
      <c r="K24" s="10">
        <f>Table1[[#This Row],[cumulative_due]]-Table1[[#This Row],[cumulative_paid]]</f>
        <v>0</v>
      </c>
      <c r="M24" s="37">
        <f>MAX(0,L66-Table1[[#This Row],[due_date]])</f>
        <v>139</v>
      </c>
      <c r="N24" t="str">
        <f t="shared" si="1"/>
        <v>90+</v>
      </c>
      <c r="O24" s="17">
        <v>45991</v>
      </c>
    </row>
    <row r="25" spans="1:15" x14ac:dyDescent="0.35">
      <c r="A25" s="3" t="s">
        <v>52</v>
      </c>
      <c r="B25" s="3">
        <v>3</v>
      </c>
      <c r="C25" s="19">
        <v>45941</v>
      </c>
      <c r="D25" s="12">
        <f>D24</f>
        <v>22733.333333333332</v>
      </c>
      <c r="E25" s="19">
        <v>46033</v>
      </c>
      <c r="F25" t="s">
        <v>146</v>
      </c>
      <c r="G25" s="12">
        <f>Table1[[#This Row],[amount_due]]</f>
        <v>22733.333333333332</v>
      </c>
      <c r="H25" s="12">
        <f>Table1[[#This Row],[Payment_amount]]-Table1[[#This Row],[amount_due]]</f>
        <v>0</v>
      </c>
      <c r="I25" s="12">
        <f t="shared" si="11"/>
        <v>68200</v>
      </c>
      <c r="J25" s="12">
        <f>G23+G24+Table1[[#This Row],[Payment_amount]]</f>
        <v>68200</v>
      </c>
      <c r="K25" s="10">
        <f>Table1[[#This Row],[cumulative_due]]-Table1[[#This Row],[cumulative_paid]]</f>
        <v>0</v>
      </c>
      <c r="M25" s="37">
        <f>MAX(0,L66-Table1[[#This Row],[due_date]])</f>
        <v>109</v>
      </c>
      <c r="N25" t="str">
        <f t="shared" si="1"/>
        <v>90+</v>
      </c>
      <c r="O25" s="17">
        <v>45992</v>
      </c>
    </row>
    <row r="26" spans="1:15" x14ac:dyDescent="0.35">
      <c r="A26" s="3" t="s">
        <v>80</v>
      </c>
      <c r="B26" s="3">
        <v>1</v>
      </c>
      <c r="C26" s="19">
        <v>45881</v>
      </c>
      <c r="D26" s="12">
        <f>Loan!J10/Loan!H10</f>
        <v>30533.333333333332</v>
      </c>
      <c r="E26" s="19">
        <v>45881</v>
      </c>
      <c r="F26" t="s">
        <v>147</v>
      </c>
      <c r="G26" s="12">
        <v>12000</v>
      </c>
      <c r="H26" s="12">
        <f>Table1[[#This Row],[amount_due]]-Table1[[#This Row],[Payment_amount]]</f>
        <v>18533.333333333332</v>
      </c>
      <c r="I26" s="12">
        <f t="shared" si="11"/>
        <v>30533.333333333332</v>
      </c>
      <c r="J26" s="12">
        <f>Table1[[#This Row],[Payment_amount]]</f>
        <v>12000</v>
      </c>
      <c r="K26" s="10">
        <f>Table1[[#This Row],[cumulative_due]]-Table1[[#This Row],[cumulative_paid]]</f>
        <v>18533.333333333332</v>
      </c>
      <c r="M26" s="37">
        <f>MAX(0,L69-Table1[[#This Row],[due_date]])</f>
        <v>0</v>
      </c>
      <c r="N26" t="str">
        <f t="shared" si="1"/>
        <v>Current</v>
      </c>
      <c r="O26" s="17">
        <v>45993</v>
      </c>
    </row>
    <row r="27" spans="1:15" x14ac:dyDescent="0.35">
      <c r="A27" s="3" t="s">
        <v>80</v>
      </c>
      <c r="B27" s="3">
        <v>2</v>
      </c>
      <c r="C27" s="19">
        <v>45912</v>
      </c>
      <c r="D27" s="12">
        <f>D26</f>
        <v>30533.333333333332</v>
      </c>
      <c r="E27" s="19">
        <v>46003</v>
      </c>
      <c r="F27" t="s">
        <v>146</v>
      </c>
      <c r="G27" s="12">
        <f>Table1[[#This Row],[amount_due]]</f>
        <v>30533.333333333332</v>
      </c>
      <c r="H27" s="12">
        <f>Table1[[#This Row],[Payment_amount]]-Table1[[#This Row],[amount_due]]</f>
        <v>0</v>
      </c>
      <c r="I27" s="12">
        <f t="shared" si="11"/>
        <v>61066.666666666664</v>
      </c>
      <c r="J27" s="12">
        <f>G26+Table1[[#This Row],[Payment_amount]]+G2</f>
        <v>61533.333333333328</v>
      </c>
      <c r="K27" s="10"/>
      <c r="M27" s="37">
        <f>MAX(0,L70-Table1[[#This Row],[due_date]])</f>
        <v>0</v>
      </c>
      <c r="N27" t="str">
        <f t="shared" si="1"/>
        <v>Current</v>
      </c>
      <c r="O27" s="17">
        <v>45994</v>
      </c>
    </row>
    <row r="28" spans="1:15" x14ac:dyDescent="0.35">
      <c r="A28" s="3" t="s">
        <v>80</v>
      </c>
      <c r="B28" s="3">
        <v>3</v>
      </c>
      <c r="C28" s="19">
        <v>45942</v>
      </c>
      <c r="D28" s="12">
        <f>D27</f>
        <v>30533.333333333332</v>
      </c>
      <c r="E28" s="19">
        <v>46065</v>
      </c>
      <c r="F28" t="s">
        <v>146</v>
      </c>
      <c r="G28" s="12">
        <f>Table1[[#This Row],[amount_due]]</f>
        <v>30533.333333333332</v>
      </c>
      <c r="H28" s="12">
        <f>Table1[[#This Row],[Payment_amount]]-Table1[[#This Row],[amount_due]]</f>
        <v>0</v>
      </c>
      <c r="I28" s="12">
        <f t="shared" si="11"/>
        <v>91600</v>
      </c>
      <c r="J28" s="12">
        <f>G26+G27+Table1[[#This Row],[Payment_amount]]</f>
        <v>73066.666666666657</v>
      </c>
      <c r="K28" s="10"/>
      <c r="M28" s="37">
        <f>MAX(0,L71-Table1[[#This Row],[due_date]])</f>
        <v>0</v>
      </c>
      <c r="N28" t="str">
        <f t="shared" si="1"/>
        <v>Current</v>
      </c>
      <c r="O28" s="17">
        <v>45995</v>
      </c>
    </row>
    <row r="29" spans="1:15" x14ac:dyDescent="0.35">
      <c r="A29" s="3" t="s">
        <v>81</v>
      </c>
      <c r="B29" s="3">
        <v>1</v>
      </c>
      <c r="C29" s="19">
        <v>45882</v>
      </c>
      <c r="D29" s="12">
        <f>Loan!J11/Loan!H11</f>
        <v>38333.333333333336</v>
      </c>
      <c r="E29" s="19" t="s">
        <v>143</v>
      </c>
      <c r="F29" t="s">
        <v>148</v>
      </c>
      <c r="G29" s="12">
        <v>0</v>
      </c>
      <c r="H29" s="12">
        <f t="shared" ref="H29:H31" si="12">D29-G29</f>
        <v>38333.333333333336</v>
      </c>
      <c r="I29" s="12">
        <f t="shared" si="11"/>
        <v>38333.333333333336</v>
      </c>
      <c r="J29" s="12">
        <f>G29</f>
        <v>0</v>
      </c>
      <c r="K29" s="12">
        <f>I29-J29</f>
        <v>38333.333333333336</v>
      </c>
      <c r="M29" s="37">
        <f>MAX(0,L72-Table1[[#This Row],[due_date]])</f>
        <v>0</v>
      </c>
      <c r="N29" t="str">
        <f t="shared" si="1"/>
        <v>Current</v>
      </c>
      <c r="O29" s="17">
        <v>45996</v>
      </c>
    </row>
    <row r="30" spans="1:15" x14ac:dyDescent="0.35">
      <c r="A30" s="3" t="s">
        <v>81</v>
      </c>
      <c r="B30" s="3">
        <v>2</v>
      </c>
      <c r="C30" s="19">
        <v>45913</v>
      </c>
      <c r="D30" s="12">
        <f>D29</f>
        <v>38333.333333333336</v>
      </c>
      <c r="E30" s="19" t="s">
        <v>143</v>
      </c>
      <c r="F30" t="s">
        <v>148</v>
      </c>
      <c r="G30" s="12">
        <v>0</v>
      </c>
      <c r="H30" s="12">
        <f t="shared" si="12"/>
        <v>38333.333333333336</v>
      </c>
      <c r="I30" s="12">
        <f t="shared" si="11"/>
        <v>76666.666666666672</v>
      </c>
      <c r="J30" s="12">
        <f t="shared" ref="J30:J31" si="13">G30</f>
        <v>0</v>
      </c>
      <c r="K30" s="12">
        <f t="shared" ref="K30:K31" si="14">I30-J30</f>
        <v>76666.666666666672</v>
      </c>
      <c r="M30" s="37">
        <f>MAX(0,L73-Table1[[#This Row],[due_date]])</f>
        <v>0</v>
      </c>
      <c r="N30" t="str">
        <f t="shared" si="1"/>
        <v>Current</v>
      </c>
      <c r="O30" s="17">
        <v>45997</v>
      </c>
    </row>
    <row r="31" spans="1:15" x14ac:dyDescent="0.35">
      <c r="A31" s="3" t="s">
        <v>81</v>
      </c>
      <c r="B31" s="3">
        <v>3</v>
      </c>
      <c r="C31" s="19">
        <v>45943</v>
      </c>
      <c r="D31" s="12">
        <f>D30</f>
        <v>38333.333333333336</v>
      </c>
      <c r="E31" s="19" t="s">
        <v>143</v>
      </c>
      <c r="F31" t="s">
        <v>148</v>
      </c>
      <c r="G31" s="12">
        <v>0</v>
      </c>
      <c r="H31" s="12">
        <f t="shared" si="12"/>
        <v>38333.333333333336</v>
      </c>
      <c r="I31" s="12">
        <f t="shared" si="11"/>
        <v>115000</v>
      </c>
      <c r="J31" s="12">
        <f t="shared" si="13"/>
        <v>0</v>
      </c>
      <c r="K31" s="12">
        <f t="shared" si="14"/>
        <v>115000</v>
      </c>
      <c r="M31" s="37">
        <f>MAX(0,L74-Table1[[#This Row],[due_date]])</f>
        <v>0</v>
      </c>
      <c r="N31" t="str">
        <f t="shared" si="1"/>
        <v>Current</v>
      </c>
      <c r="O31" s="17">
        <v>45998</v>
      </c>
    </row>
    <row r="32" spans="1:15" x14ac:dyDescent="0.35">
      <c r="A32" s="3" t="s">
        <v>82</v>
      </c>
      <c r="B32" s="3">
        <v>1</v>
      </c>
      <c r="C32" s="19">
        <v>45883</v>
      </c>
      <c r="D32" s="12">
        <f>Loan!J12/Loan!H12</f>
        <v>45800</v>
      </c>
      <c r="E32" s="19">
        <v>45874</v>
      </c>
      <c r="F32" t="s">
        <v>149</v>
      </c>
      <c r="G32" s="12">
        <f>Table1[[#This Row],[amount_due]]</f>
        <v>45800</v>
      </c>
      <c r="H32" s="12">
        <f>Table1[[#This Row],[amount_due]]-Table1[[#This Row],[Payment_amount]]</f>
        <v>0</v>
      </c>
      <c r="I32" s="12">
        <f t="shared" si="11"/>
        <v>45800</v>
      </c>
      <c r="J32" s="12">
        <f>Table1[[#This Row],[Payment_amount]]</f>
        <v>45800</v>
      </c>
      <c r="K32" s="10">
        <f>Table1[[#This Row],[cumulative_due]]-Table1[[#This Row],[cumulative_paid]]</f>
        <v>0</v>
      </c>
      <c r="M32" s="37">
        <f>MAX(0,L75-Table1[[#This Row],[due_date]])</f>
        <v>0</v>
      </c>
      <c r="N32" t="str">
        <f t="shared" si="1"/>
        <v>Current</v>
      </c>
      <c r="O32" s="17">
        <v>45999</v>
      </c>
    </row>
    <row r="33" spans="1:15" x14ac:dyDescent="0.35">
      <c r="A33" s="3" t="s">
        <v>82</v>
      </c>
      <c r="B33" s="3">
        <v>2</v>
      </c>
      <c r="C33" s="19">
        <v>45914</v>
      </c>
      <c r="D33" s="12">
        <f>D32</f>
        <v>45800</v>
      </c>
      <c r="E33" s="19">
        <v>45901</v>
      </c>
      <c r="F33" t="s">
        <v>149</v>
      </c>
      <c r="G33" s="12">
        <f>Table1[[#This Row],[amount_due]]</f>
        <v>45800</v>
      </c>
      <c r="H33" s="12">
        <f>Table1[[#This Row],[amount_due]]-Table1[[#This Row],[Payment_amount]]</f>
        <v>0</v>
      </c>
      <c r="I33" s="12">
        <f t="shared" si="11"/>
        <v>91600</v>
      </c>
      <c r="J33" s="12">
        <f>G32+Table1[[#This Row],[Payment_amount]]</f>
        <v>91600</v>
      </c>
      <c r="K33" s="10">
        <f>Table1[[#This Row],[cumulative_due]]-Table1[[#This Row],[cumulative_paid]]</f>
        <v>0</v>
      </c>
      <c r="M33" s="37">
        <f>MAX(0,L76-Table1[[#This Row],[due_date]])</f>
        <v>0</v>
      </c>
      <c r="N33" t="str">
        <f t="shared" si="1"/>
        <v>Current</v>
      </c>
      <c r="O33" s="17">
        <v>46000</v>
      </c>
    </row>
    <row r="34" spans="1:15" x14ac:dyDescent="0.35">
      <c r="A34" s="3" t="s">
        <v>142</v>
      </c>
      <c r="B34" s="3">
        <v>3</v>
      </c>
      <c r="C34" s="19">
        <v>45944</v>
      </c>
      <c r="D34" s="12">
        <f>D32</f>
        <v>45800</v>
      </c>
      <c r="E34" s="19">
        <v>45930</v>
      </c>
      <c r="F34" t="s">
        <v>149</v>
      </c>
      <c r="G34" s="12">
        <f>Table1[[#This Row],[amount_due]]</f>
        <v>45800</v>
      </c>
      <c r="H34" s="12">
        <f>Table1[[#This Row],[amount_due]]-Table1[[#This Row],[Payment_amount]]</f>
        <v>0</v>
      </c>
      <c r="I34" s="12">
        <f>D32+D33+Table1[[#This Row],[amount_due]]</f>
        <v>137400</v>
      </c>
      <c r="J34" s="12">
        <f>G32+G33+Table1[[#This Row],[Payment_amount]]</f>
        <v>137400</v>
      </c>
      <c r="K34" s="10">
        <f>Table1[[#This Row],[cumulative_due]]-Table1[[#This Row],[cumulative_paid]]</f>
        <v>0</v>
      </c>
      <c r="M34" s="37">
        <f>MAX(0,L77-Table1[[#This Row],[due_date]])</f>
        <v>0</v>
      </c>
      <c r="N34" t="str">
        <f t="shared" si="1"/>
        <v>Current</v>
      </c>
      <c r="O34" s="17">
        <v>46001</v>
      </c>
    </row>
    <row r="35" spans="1:15" x14ac:dyDescent="0.35">
      <c r="A35" s="3" t="s">
        <v>83</v>
      </c>
      <c r="B35" s="3">
        <v>1</v>
      </c>
      <c r="C35" s="19">
        <v>45884</v>
      </c>
      <c r="D35" s="12">
        <f>Loan!J13/Loan!H13</f>
        <v>53266.666666666664</v>
      </c>
      <c r="E35" s="19" t="s">
        <v>143</v>
      </c>
      <c r="F35" t="s">
        <v>148</v>
      </c>
      <c r="G35" s="12">
        <v>0</v>
      </c>
      <c r="H35" s="12">
        <f>Table1[[#This Row],[amount_due]]-Table1[[#This Row],[Payment_amount]]</f>
        <v>53266.666666666664</v>
      </c>
      <c r="I35" s="12">
        <f t="shared" si="11"/>
        <v>53266.666666666664</v>
      </c>
      <c r="J35" s="12">
        <f>Table1[[#This Row],[Payment_amount]]</f>
        <v>0</v>
      </c>
      <c r="K35" s="10">
        <f>Table1[[#This Row],[cumulative_due]]-Table1[[#This Row],[cumulative_paid]]</f>
        <v>53266.666666666664</v>
      </c>
      <c r="M35" s="37">
        <f>MAX(0,L78-Table1[[#This Row],[due_date]])</f>
        <v>0</v>
      </c>
      <c r="N35" t="str">
        <f t="shared" si="1"/>
        <v>Current</v>
      </c>
      <c r="O35" s="17">
        <v>46002</v>
      </c>
    </row>
    <row r="36" spans="1:15" x14ac:dyDescent="0.35">
      <c r="A36" s="3" t="s">
        <v>83</v>
      </c>
      <c r="B36" s="3">
        <v>2</v>
      </c>
      <c r="C36" s="19">
        <v>45915</v>
      </c>
      <c r="D36" s="12">
        <f>D35</f>
        <v>53266.666666666664</v>
      </c>
      <c r="E36" s="19">
        <v>45915</v>
      </c>
      <c r="F36" t="s">
        <v>150</v>
      </c>
      <c r="G36" s="12">
        <f>H35+D37</f>
        <v>106533.33333333333</v>
      </c>
      <c r="H36" s="12">
        <f>Table1[[#This Row],[Payment_amount]]-I36</f>
        <v>0</v>
      </c>
      <c r="I36" s="12">
        <f t="shared" si="11"/>
        <v>106533.33333333333</v>
      </c>
      <c r="J36" s="12">
        <f>Table1[[#This Row],[Payment_amount]]</f>
        <v>106533.33333333333</v>
      </c>
      <c r="K36" s="10">
        <f>Table1[[#This Row],[cumulative_due]]-Table1[[#This Row],[cumulative_paid]]</f>
        <v>0</v>
      </c>
      <c r="M36" s="37">
        <f>MAX(0,L79-Table1[[#This Row],[due_date]])</f>
        <v>0</v>
      </c>
      <c r="N36" t="str">
        <f t="shared" si="1"/>
        <v>Current</v>
      </c>
      <c r="O36" s="17">
        <v>46003</v>
      </c>
    </row>
    <row r="37" spans="1:15" x14ac:dyDescent="0.35">
      <c r="A37" s="3" t="s">
        <v>83</v>
      </c>
      <c r="B37" s="3">
        <v>3</v>
      </c>
      <c r="C37" s="19">
        <v>45945</v>
      </c>
      <c r="D37" s="12">
        <f>D36</f>
        <v>53266.666666666664</v>
      </c>
      <c r="E37" s="19">
        <v>46006</v>
      </c>
      <c r="F37" t="s">
        <v>146</v>
      </c>
      <c r="G37" s="12">
        <f>Table1[[#This Row],[amount_due]]</f>
        <v>53266.666666666664</v>
      </c>
      <c r="H37" s="12">
        <f>Table1[[#This Row],[Payment_amount]]-Table1[[#This Row],[amount_due]]</f>
        <v>0</v>
      </c>
      <c r="I37" s="12">
        <f t="shared" si="11"/>
        <v>159800</v>
      </c>
      <c r="J37" s="12">
        <f>G36+Table1[[#This Row],[Payment_amount]]</f>
        <v>159800</v>
      </c>
      <c r="K37" s="10">
        <f>Table1[[#This Row],[cumulative_due]]-Table1[[#This Row],[cumulative_paid]]</f>
        <v>0</v>
      </c>
      <c r="M37" s="37">
        <f>MAX(0,L80-Table1[[#This Row],[due_date]])</f>
        <v>0</v>
      </c>
      <c r="N37" t="str">
        <f t="shared" si="1"/>
        <v>Current</v>
      </c>
      <c r="O37" s="17">
        <v>46004</v>
      </c>
    </row>
    <row r="38" spans="1:15" x14ac:dyDescent="0.35">
      <c r="A38" s="3" t="s">
        <v>84</v>
      </c>
      <c r="B38" s="3">
        <v>1</v>
      </c>
      <c r="C38" s="19">
        <v>45885</v>
      </c>
      <c r="D38" s="12">
        <f>Loan!J14/Loan!H14</f>
        <v>61400</v>
      </c>
      <c r="E38" s="19">
        <v>45885</v>
      </c>
      <c r="F38" t="s">
        <v>145</v>
      </c>
      <c r="G38" s="12">
        <f>Table1[[#This Row],[amount_due]]</f>
        <v>61400</v>
      </c>
      <c r="H38" s="12">
        <f>Table1[[#This Row],[Payment_amount]]-Table1[[#This Row],[amount_due]]</f>
        <v>0</v>
      </c>
      <c r="I38" s="12">
        <f t="shared" si="11"/>
        <v>61400</v>
      </c>
      <c r="J38" s="12">
        <f>Table1[[#This Row],[cumulative_due]]</f>
        <v>61400</v>
      </c>
      <c r="K38" s="10">
        <f>Table1[[#This Row],[cumulative_due]]-Table1[[#This Row],[cumulative_paid]]</f>
        <v>0</v>
      </c>
      <c r="L38" s="2">
        <v>0</v>
      </c>
      <c r="M38" s="37">
        <f>MAX(0,L81-Table1[[#This Row],[due_date]])</f>
        <v>0</v>
      </c>
      <c r="N38" t="str">
        <f t="shared" si="1"/>
        <v>Current</v>
      </c>
      <c r="O38" s="17">
        <v>46005</v>
      </c>
    </row>
    <row r="39" spans="1:15" x14ac:dyDescent="0.35">
      <c r="A39" s="3" t="s">
        <v>84</v>
      </c>
      <c r="B39" s="3">
        <v>2</v>
      </c>
      <c r="C39" s="19">
        <v>45916</v>
      </c>
      <c r="D39" s="12">
        <f>D38</f>
        <v>61400</v>
      </c>
      <c r="E39" s="19">
        <v>45916</v>
      </c>
      <c r="F39" t="s">
        <v>145</v>
      </c>
      <c r="G39" s="12">
        <f>Table1[[#This Row],[amount_due]]</f>
        <v>61400</v>
      </c>
      <c r="H39" s="12">
        <f>Table1[[#This Row],[Payment_amount]]-Table1[[#This Row],[amount_due]]</f>
        <v>0</v>
      </c>
      <c r="I39" s="12">
        <f t="shared" si="11"/>
        <v>122800</v>
      </c>
      <c r="J39" s="12">
        <f>Table1[[#This Row],[cumulative_due]]</f>
        <v>122800</v>
      </c>
      <c r="K39" s="10">
        <f>Table1[[#This Row],[cumulative_due]]-Table1[[#This Row],[cumulative_paid]]</f>
        <v>0</v>
      </c>
      <c r="L39" s="2">
        <v>0</v>
      </c>
      <c r="M39" s="37">
        <f>MAX(0,L82-Table1[[#This Row],[due_date]])</f>
        <v>0</v>
      </c>
      <c r="N39" t="str">
        <f t="shared" si="1"/>
        <v>Current</v>
      </c>
      <c r="O39" s="17">
        <v>46006</v>
      </c>
    </row>
    <row r="40" spans="1:15" x14ac:dyDescent="0.35">
      <c r="A40" s="3" t="s">
        <v>84</v>
      </c>
      <c r="B40" s="3">
        <v>3</v>
      </c>
      <c r="C40" s="19">
        <v>45946</v>
      </c>
      <c r="D40" s="12">
        <f>D39</f>
        <v>61400</v>
      </c>
      <c r="E40" s="19">
        <v>45946</v>
      </c>
      <c r="F40" t="s">
        <v>145</v>
      </c>
      <c r="G40" s="12">
        <f>Table1[[#This Row],[amount_due]]</f>
        <v>61400</v>
      </c>
      <c r="H40" s="12">
        <f>Table1[[#This Row],[Payment_amount]]-Table1[[#This Row],[amount_due]]</f>
        <v>0</v>
      </c>
      <c r="I40" s="12">
        <f t="shared" si="11"/>
        <v>184200</v>
      </c>
      <c r="J40" s="12">
        <f>Table1[[#This Row],[cumulative_due]]</f>
        <v>184200</v>
      </c>
      <c r="K40" s="10">
        <f>Table1[[#This Row],[cumulative_due]]-Table1[[#This Row],[cumulative_paid]]</f>
        <v>0</v>
      </c>
      <c r="L40" s="2">
        <v>0</v>
      </c>
      <c r="M40" s="37">
        <f>MAX(0,L83-Table1[[#This Row],[due_date]])</f>
        <v>0</v>
      </c>
      <c r="N40" t="str">
        <f t="shared" si="1"/>
        <v>Current</v>
      </c>
      <c r="O40" s="17">
        <v>46007</v>
      </c>
    </row>
    <row r="41" spans="1:15" x14ac:dyDescent="0.35">
      <c r="A41" s="3" t="s">
        <v>85</v>
      </c>
      <c r="B41" s="3">
        <v>1</v>
      </c>
      <c r="C41" s="19">
        <v>45886</v>
      </c>
      <c r="D41" s="12">
        <f>Loan!J15/Loan!H15</f>
        <v>68866.666666666672</v>
      </c>
      <c r="E41" s="19">
        <v>45937</v>
      </c>
      <c r="F41" t="s">
        <v>146</v>
      </c>
      <c r="G41" s="12">
        <f>Table1[[#This Row],[amount_due]]</f>
        <v>68866.666666666672</v>
      </c>
      <c r="H41" s="12">
        <f>Table1[[#This Row],[amount_due]]-Table1[[#This Row],[Payment_amount]]</f>
        <v>0</v>
      </c>
      <c r="I41" s="12">
        <f t="shared" si="11"/>
        <v>68866.666666666672</v>
      </c>
      <c r="J41" s="12">
        <f>Table1[[#This Row],[Payment_amount]]</f>
        <v>68866.666666666672</v>
      </c>
      <c r="K41" s="10">
        <f>Table1[[#This Row],[cumulative_due]]-Table1[[#This Row],[cumulative_paid]]</f>
        <v>0</v>
      </c>
      <c r="M41" s="37">
        <f>MAX(0,L66-Table1[[#This Row],[due_date]])</f>
        <v>164</v>
      </c>
      <c r="N41" t="str">
        <f t="shared" si="1"/>
        <v>90+</v>
      </c>
      <c r="O41" s="17">
        <v>46008</v>
      </c>
    </row>
    <row r="42" spans="1:15" x14ac:dyDescent="0.35">
      <c r="A42" s="3" t="s">
        <v>85</v>
      </c>
      <c r="B42" s="3">
        <v>2</v>
      </c>
      <c r="C42" s="19">
        <v>45917</v>
      </c>
      <c r="D42" s="12">
        <f>D41</f>
        <v>68866.666666666672</v>
      </c>
      <c r="E42" s="19">
        <v>45984</v>
      </c>
      <c r="F42" t="s">
        <v>146</v>
      </c>
      <c r="G42" s="12">
        <f>Table1[[#This Row],[amount_due]]</f>
        <v>68866.666666666672</v>
      </c>
      <c r="H42" s="12">
        <f>Table1[[#This Row],[amount_due]]-Table1[[#This Row],[Payment_amount]]</f>
        <v>0</v>
      </c>
      <c r="I42" s="12">
        <f t="shared" si="11"/>
        <v>137733.33333333334</v>
      </c>
      <c r="J42" s="12">
        <f>J41+Table1[[#This Row],[Payment_amount]]</f>
        <v>137733.33333333334</v>
      </c>
      <c r="K42" s="10">
        <f>Table1[[#This Row],[cumulative_due]]-Table1[[#This Row],[cumulative_paid]]</f>
        <v>0</v>
      </c>
      <c r="M42" s="37">
        <f>MAX(0,L66-Table1[[#This Row],[due_date]])</f>
        <v>133</v>
      </c>
      <c r="N42" t="str">
        <f t="shared" si="1"/>
        <v>90+</v>
      </c>
      <c r="O42" s="17">
        <v>46009</v>
      </c>
    </row>
    <row r="43" spans="1:15" x14ac:dyDescent="0.35">
      <c r="A43" s="3" t="s">
        <v>85</v>
      </c>
      <c r="B43" s="3">
        <v>3</v>
      </c>
      <c r="C43" s="19">
        <v>45947</v>
      </c>
      <c r="D43" s="12">
        <f>D42</f>
        <v>68866.666666666672</v>
      </c>
      <c r="E43" s="19">
        <v>46018</v>
      </c>
      <c r="F43" t="s">
        <v>146</v>
      </c>
      <c r="G43" s="12">
        <f>Table1[[#This Row],[amount_due]]</f>
        <v>68866.666666666672</v>
      </c>
      <c r="H43" s="12">
        <f>Table1[[#This Row],[amount_due]]-Table1[[#This Row],[Payment_amount]]</f>
        <v>0</v>
      </c>
      <c r="I43" s="12">
        <f t="shared" si="11"/>
        <v>206600</v>
      </c>
      <c r="J43" s="12">
        <f>J42+Table1[[#This Row],[Payment_amount]]</f>
        <v>206600</v>
      </c>
      <c r="K43" s="10">
        <f>Table1[[#This Row],[cumulative_due]]-Table1[[#This Row],[cumulative_paid]]</f>
        <v>0</v>
      </c>
      <c r="M43" s="37">
        <f>MAX(0,L66-Table1[[#This Row],[due_date]])</f>
        <v>103</v>
      </c>
      <c r="N43" t="str">
        <f t="shared" si="1"/>
        <v>90+</v>
      </c>
      <c r="O43" s="17">
        <v>46010</v>
      </c>
    </row>
    <row r="44" spans="1:15" x14ac:dyDescent="0.35">
      <c r="A44" s="3" t="s">
        <v>86</v>
      </c>
      <c r="B44" s="3">
        <v>1</v>
      </c>
      <c r="C44" s="19">
        <v>45887</v>
      </c>
      <c r="D44" s="12">
        <f>Loan!J16/Loan!H16</f>
        <v>76333.333333333328</v>
      </c>
      <c r="E44" s="19">
        <v>45887</v>
      </c>
      <c r="F44" t="s">
        <v>147</v>
      </c>
      <c r="G44" s="12"/>
      <c r="I44" s="12">
        <f t="shared" si="11"/>
        <v>76333.333333333328</v>
      </c>
      <c r="J44" s="12"/>
      <c r="K44" s="10"/>
      <c r="M44" s="37">
        <f>MAX(0,L87-Table1[[#This Row],[due_date]])</f>
        <v>0</v>
      </c>
      <c r="N44" t="str">
        <f t="shared" si="1"/>
        <v>Current</v>
      </c>
      <c r="O44" s="17">
        <v>46011</v>
      </c>
    </row>
    <row r="45" spans="1:15" x14ac:dyDescent="0.35">
      <c r="A45" s="3" t="s">
        <v>86</v>
      </c>
      <c r="B45" s="3">
        <v>2</v>
      </c>
      <c r="C45" s="19">
        <v>45918</v>
      </c>
      <c r="D45" s="12">
        <f>D44</f>
        <v>76333.333333333328</v>
      </c>
      <c r="E45" s="19">
        <v>45918</v>
      </c>
      <c r="F45" t="s">
        <v>147</v>
      </c>
      <c r="G45" s="12"/>
      <c r="I45" s="12">
        <f t="shared" si="11"/>
        <v>152666.66666666666</v>
      </c>
      <c r="J45" s="12"/>
      <c r="K45" s="10"/>
      <c r="M45" s="37">
        <f>MAX(0,L88-Table1[[#This Row],[due_date]])</f>
        <v>0</v>
      </c>
      <c r="N45" t="str">
        <f t="shared" si="1"/>
        <v>Current</v>
      </c>
      <c r="O45" s="17">
        <v>46012</v>
      </c>
    </row>
    <row r="46" spans="1:15" x14ac:dyDescent="0.35">
      <c r="A46" s="3" t="s">
        <v>86</v>
      </c>
      <c r="B46" s="3">
        <v>3</v>
      </c>
      <c r="C46" s="19">
        <v>45948</v>
      </c>
      <c r="D46" s="12">
        <f>D45</f>
        <v>76333.333333333328</v>
      </c>
      <c r="E46" s="19">
        <v>45948</v>
      </c>
      <c r="F46" t="s">
        <v>147</v>
      </c>
      <c r="G46" s="12"/>
      <c r="I46" s="12">
        <f t="shared" si="11"/>
        <v>229000</v>
      </c>
      <c r="J46" s="12"/>
      <c r="K46" s="10"/>
      <c r="M46" s="37">
        <f>MAX(0,L89-Table1[[#This Row],[due_date]])</f>
        <v>0</v>
      </c>
      <c r="N46" t="str">
        <f t="shared" si="1"/>
        <v>Current</v>
      </c>
      <c r="O46" s="17">
        <v>46013</v>
      </c>
    </row>
    <row r="47" spans="1:15" x14ac:dyDescent="0.35">
      <c r="A47" s="3" t="s">
        <v>87</v>
      </c>
      <c r="B47" s="3">
        <v>1</v>
      </c>
      <c r="C47" s="19">
        <v>45888</v>
      </c>
      <c r="D47" s="12">
        <f>Loan!J17/Loan!H17</f>
        <v>26800</v>
      </c>
      <c r="E47" s="19">
        <v>45888</v>
      </c>
      <c r="F47" t="s">
        <v>148</v>
      </c>
      <c r="G47" s="12"/>
      <c r="I47" s="12">
        <f t="shared" si="11"/>
        <v>26800</v>
      </c>
      <c r="J47" s="12"/>
      <c r="K47" s="12"/>
      <c r="M47" s="37">
        <f>MAX(0,L90-Table1[[#This Row],[due_date]])</f>
        <v>0</v>
      </c>
      <c r="N47" t="str">
        <f t="shared" si="1"/>
        <v>Current</v>
      </c>
      <c r="O47" s="17">
        <v>46014</v>
      </c>
    </row>
    <row r="48" spans="1:15" x14ac:dyDescent="0.35">
      <c r="A48" s="3" t="s">
        <v>87</v>
      </c>
      <c r="B48" s="3">
        <v>2</v>
      </c>
      <c r="C48" s="19">
        <v>45919</v>
      </c>
      <c r="D48" s="12">
        <f>D47</f>
        <v>26800</v>
      </c>
      <c r="E48" s="19">
        <v>45919</v>
      </c>
      <c r="F48" t="s">
        <v>148</v>
      </c>
      <c r="G48" s="12"/>
      <c r="I48" s="12">
        <f t="shared" si="11"/>
        <v>53600</v>
      </c>
      <c r="J48" s="12"/>
      <c r="K48" s="12"/>
      <c r="M48" s="37">
        <f>MAX(0,L91-Table1[[#This Row],[due_date]])</f>
        <v>0</v>
      </c>
      <c r="N48" t="str">
        <f t="shared" si="1"/>
        <v>Current</v>
      </c>
      <c r="O48" s="17">
        <v>46015</v>
      </c>
    </row>
    <row r="49" spans="1:15" x14ac:dyDescent="0.35">
      <c r="A49" s="3" t="s">
        <v>141</v>
      </c>
      <c r="B49" s="3">
        <v>3</v>
      </c>
      <c r="C49" s="19">
        <v>45949</v>
      </c>
      <c r="D49" s="12">
        <f>D48</f>
        <v>26800</v>
      </c>
      <c r="E49" s="19">
        <v>45949</v>
      </c>
      <c r="F49" t="s">
        <v>148</v>
      </c>
      <c r="G49" s="12"/>
      <c r="I49" s="12">
        <f t="shared" si="11"/>
        <v>26800</v>
      </c>
      <c r="J49" s="12"/>
      <c r="K49" s="12"/>
      <c r="M49" s="37">
        <f>MAX(0,L92-Table1[[#This Row],[due_date]])</f>
        <v>0</v>
      </c>
      <c r="N49" t="str">
        <f t="shared" si="1"/>
        <v>Current</v>
      </c>
      <c r="O49" s="17">
        <v>46016</v>
      </c>
    </row>
    <row r="50" spans="1:15" x14ac:dyDescent="0.35">
      <c r="A50" s="3" t="s">
        <v>88</v>
      </c>
      <c r="B50" s="3">
        <v>1</v>
      </c>
      <c r="C50" s="19">
        <v>45889</v>
      </c>
      <c r="D50" s="12">
        <f>Loan!J18/Loan!H18</f>
        <v>34266.666666666664</v>
      </c>
      <c r="E50" s="19">
        <v>45874</v>
      </c>
      <c r="F50" t="s">
        <v>149</v>
      </c>
      <c r="G50" s="12">
        <f>Table1[[#This Row],[amount_due]]</f>
        <v>34266.666666666664</v>
      </c>
      <c r="H50" s="12">
        <f>Table1[[#This Row],[amount_due]]-Table1[[#This Row],[Payment_amount]]</f>
        <v>0</v>
      </c>
      <c r="I50" s="12">
        <f t="shared" si="11"/>
        <v>34266.666666666664</v>
      </c>
      <c r="J50" s="12">
        <f>Table1[[#This Row],[Payment_amount]]</f>
        <v>34266.666666666664</v>
      </c>
      <c r="K50" s="10">
        <f>Table1[[#This Row],[cumulative_due]]-Table1[[#This Row],[cumulative_paid]]</f>
        <v>0</v>
      </c>
      <c r="M50" s="37">
        <f>MAX(0,L93-Table1[[#This Row],[due_date]])</f>
        <v>0</v>
      </c>
      <c r="N50" t="str">
        <f t="shared" si="1"/>
        <v>Current</v>
      </c>
      <c r="O50" s="17">
        <v>46017</v>
      </c>
    </row>
    <row r="51" spans="1:15" x14ac:dyDescent="0.35">
      <c r="A51" s="3" t="s">
        <v>88</v>
      </c>
      <c r="B51" s="3">
        <v>2</v>
      </c>
      <c r="C51" s="19">
        <v>45920</v>
      </c>
      <c r="D51" s="12">
        <f>D50</f>
        <v>34266.666666666664</v>
      </c>
      <c r="E51" s="19">
        <v>45901</v>
      </c>
      <c r="F51" t="s">
        <v>149</v>
      </c>
      <c r="G51" s="12">
        <f>Table1[[#This Row],[amount_due]]</f>
        <v>34266.666666666664</v>
      </c>
      <c r="H51" s="12">
        <f>Table1[[#This Row],[amount_due]]-Table1[[#This Row],[Payment_amount]]</f>
        <v>0</v>
      </c>
      <c r="I51" s="12">
        <f t="shared" si="11"/>
        <v>68533.333333333328</v>
      </c>
      <c r="J51" s="12">
        <f>G50+Table1[[#This Row],[Payment_amount]]</f>
        <v>68533.333333333328</v>
      </c>
      <c r="K51" s="10">
        <f>Table1[[#This Row],[cumulative_due]]-Table1[[#This Row],[cumulative_paid]]</f>
        <v>0</v>
      </c>
      <c r="M51" s="37">
        <f>MAX(0,L94-Table1[[#This Row],[due_date]])</f>
        <v>0</v>
      </c>
      <c r="N51" t="str">
        <f t="shared" si="1"/>
        <v>Current</v>
      </c>
      <c r="O51" s="17">
        <v>46018</v>
      </c>
    </row>
    <row r="52" spans="1:15" x14ac:dyDescent="0.35">
      <c r="A52" s="3" t="s">
        <v>88</v>
      </c>
      <c r="B52" s="3">
        <v>3</v>
      </c>
      <c r="C52" s="19">
        <v>45950</v>
      </c>
      <c r="D52" s="12">
        <f>D51</f>
        <v>34266.666666666664</v>
      </c>
      <c r="E52" s="19">
        <v>45931</v>
      </c>
      <c r="F52" t="s">
        <v>149</v>
      </c>
      <c r="G52" s="12">
        <f>Table1[[#This Row],[amount_due]]</f>
        <v>34266.666666666664</v>
      </c>
      <c r="H52" s="12">
        <f>Table1[[#This Row],[amount_due]]-Table1[[#This Row],[Payment_amount]]</f>
        <v>0</v>
      </c>
      <c r="I52" s="12">
        <f t="shared" si="11"/>
        <v>102800</v>
      </c>
      <c r="J52" s="12">
        <f>G50+G51+Table1[[#This Row],[Payment_amount]]</f>
        <v>102800</v>
      </c>
      <c r="K52" s="10">
        <f>Table1[[#This Row],[cumulative_due]]-Table1[[#This Row],[cumulative_paid]]</f>
        <v>0</v>
      </c>
      <c r="M52" s="37">
        <f>MAX(0,L95-Table1[[#This Row],[due_date]])</f>
        <v>0</v>
      </c>
      <c r="N52" t="str">
        <f t="shared" si="1"/>
        <v>Current</v>
      </c>
      <c r="O52" s="17">
        <v>46019</v>
      </c>
    </row>
    <row r="53" spans="1:15" x14ac:dyDescent="0.35">
      <c r="A53" s="3" t="s">
        <v>89</v>
      </c>
      <c r="B53" s="3">
        <v>1</v>
      </c>
      <c r="C53" s="19">
        <v>45890</v>
      </c>
      <c r="D53" s="12">
        <f>Loan!J19/Loan!H19</f>
        <v>42066.666666666664</v>
      </c>
      <c r="E53" s="19">
        <v>45890</v>
      </c>
      <c r="F53" t="s">
        <v>150</v>
      </c>
      <c r="G53" s="12"/>
      <c r="I53" s="12">
        <f t="shared" si="11"/>
        <v>42066.666666666664</v>
      </c>
      <c r="J53" s="12"/>
      <c r="K53" s="10"/>
      <c r="M53" s="37">
        <f>MAX(0,L96-Table1[[#This Row],[due_date]])</f>
        <v>0</v>
      </c>
      <c r="N53" t="str">
        <f t="shared" si="1"/>
        <v>Current</v>
      </c>
      <c r="O53" s="17">
        <v>46020</v>
      </c>
    </row>
    <row r="54" spans="1:15" x14ac:dyDescent="0.35">
      <c r="A54" s="3" t="s">
        <v>89</v>
      </c>
      <c r="B54" s="3">
        <v>2</v>
      </c>
      <c r="C54" s="19">
        <v>45921</v>
      </c>
      <c r="D54" s="12">
        <f>D53</f>
        <v>42066.666666666664</v>
      </c>
      <c r="E54" s="19">
        <v>45921</v>
      </c>
      <c r="F54" t="s">
        <v>150</v>
      </c>
      <c r="G54" s="12"/>
      <c r="I54" s="12">
        <f t="shared" si="11"/>
        <v>84133.333333333328</v>
      </c>
      <c r="J54" s="12"/>
      <c r="K54" s="10"/>
      <c r="M54" s="37">
        <f>MAX(0,L97-Table1[[#This Row],[due_date]])</f>
        <v>0</v>
      </c>
      <c r="N54" t="str">
        <f t="shared" si="1"/>
        <v>Current</v>
      </c>
      <c r="O54" s="17">
        <v>46021</v>
      </c>
    </row>
    <row r="55" spans="1:15" x14ac:dyDescent="0.35">
      <c r="A55" s="3" t="s">
        <v>89</v>
      </c>
      <c r="B55" s="3">
        <v>3</v>
      </c>
      <c r="C55" s="19">
        <v>45951</v>
      </c>
      <c r="D55" s="12">
        <f>D54</f>
        <v>42066.666666666664</v>
      </c>
      <c r="E55" s="19">
        <v>45951</v>
      </c>
      <c r="F55" t="s">
        <v>150</v>
      </c>
      <c r="G55" s="12"/>
      <c r="I55" s="12">
        <f t="shared" si="11"/>
        <v>126200</v>
      </c>
      <c r="J55" s="12"/>
      <c r="K55" s="10"/>
      <c r="M55" s="37">
        <f>MAX(0,L98-Table1[[#This Row],[due_date]])</f>
        <v>0</v>
      </c>
      <c r="N55" t="str">
        <f t="shared" si="1"/>
        <v>Current</v>
      </c>
      <c r="O55" s="17">
        <v>46022</v>
      </c>
    </row>
    <row r="56" spans="1:15" x14ac:dyDescent="0.35">
      <c r="A56" s="3" t="s">
        <v>90</v>
      </c>
      <c r="B56" s="3">
        <v>1</v>
      </c>
      <c r="C56" s="19">
        <v>45891</v>
      </c>
      <c r="D56" s="12">
        <f>Loan!J20/Loan!H20</f>
        <v>19000</v>
      </c>
      <c r="E56" s="19">
        <v>45891</v>
      </c>
      <c r="F56" t="s">
        <v>145</v>
      </c>
      <c r="G56" s="12">
        <f>Table1[[#This Row],[amount_due]]</f>
        <v>19000</v>
      </c>
      <c r="H56" s="12">
        <f>Table1[[#This Row],[Payment_amount]]-Table1[[#This Row],[amount_due]]</f>
        <v>0</v>
      </c>
      <c r="I56" s="12">
        <f t="shared" si="11"/>
        <v>19000</v>
      </c>
      <c r="J56" s="12">
        <f>Table1[[#This Row],[cumulative_due]]</f>
        <v>19000</v>
      </c>
      <c r="K56" s="10">
        <f>Table1[[#This Row],[cumulative_due]]-Table1[[#This Row],[cumulative_paid]]</f>
        <v>0</v>
      </c>
      <c r="L56" s="2">
        <v>0</v>
      </c>
      <c r="M56" s="37">
        <f>MAX(0,L99-Table1[[#This Row],[due_date]])</f>
        <v>0</v>
      </c>
      <c r="N56" t="str">
        <f t="shared" si="1"/>
        <v>Current</v>
      </c>
      <c r="O56" s="17">
        <v>46023</v>
      </c>
    </row>
    <row r="57" spans="1:15" x14ac:dyDescent="0.35">
      <c r="A57" s="3" t="s">
        <v>90</v>
      </c>
      <c r="B57" s="3">
        <v>2</v>
      </c>
      <c r="C57" s="19">
        <v>45922</v>
      </c>
      <c r="D57" s="12">
        <f>D56</f>
        <v>19000</v>
      </c>
      <c r="E57" s="19">
        <v>45922</v>
      </c>
      <c r="F57" t="s">
        <v>145</v>
      </c>
      <c r="G57" s="12">
        <f>Table1[[#This Row],[amount_due]]</f>
        <v>19000</v>
      </c>
      <c r="H57" s="12">
        <f>Table1[[#This Row],[Payment_amount]]-Table1[[#This Row],[amount_due]]</f>
        <v>0</v>
      </c>
      <c r="I57" s="12">
        <f t="shared" si="11"/>
        <v>38000</v>
      </c>
      <c r="J57" s="12">
        <f>Table1[[#This Row],[cumulative_due]]</f>
        <v>38000</v>
      </c>
      <c r="K57" s="10">
        <f>Table1[[#This Row],[cumulative_due]]-Table1[[#This Row],[cumulative_paid]]</f>
        <v>0</v>
      </c>
      <c r="L57" s="2">
        <v>0</v>
      </c>
      <c r="M57" s="37">
        <f>MAX(0,L100-Table1[[#This Row],[due_date]])</f>
        <v>0</v>
      </c>
      <c r="N57" t="str">
        <f t="shared" si="1"/>
        <v>Current</v>
      </c>
      <c r="O57" s="17">
        <v>46024</v>
      </c>
    </row>
    <row r="58" spans="1:15" x14ac:dyDescent="0.35">
      <c r="A58" s="3" t="s">
        <v>90</v>
      </c>
      <c r="B58" s="3">
        <v>3</v>
      </c>
      <c r="C58" s="19">
        <v>45952</v>
      </c>
      <c r="D58" s="12">
        <f>D56</f>
        <v>19000</v>
      </c>
      <c r="E58" s="19">
        <v>45952</v>
      </c>
      <c r="F58" t="s">
        <v>145</v>
      </c>
      <c r="G58" s="12">
        <f>Table1[[#This Row],[amount_due]]</f>
        <v>19000</v>
      </c>
      <c r="H58" s="12">
        <f>Table1[[#This Row],[Payment_amount]]-Table1[[#This Row],[amount_due]]</f>
        <v>0</v>
      </c>
      <c r="I58" s="12">
        <f t="shared" si="11"/>
        <v>57000</v>
      </c>
      <c r="J58" s="12">
        <f>Table1[[#This Row],[cumulative_due]]</f>
        <v>57000</v>
      </c>
      <c r="K58" s="10">
        <f>Table1[[#This Row],[cumulative_due]]-Table1[[#This Row],[cumulative_paid]]</f>
        <v>0</v>
      </c>
      <c r="L58" s="2">
        <v>0</v>
      </c>
      <c r="M58" s="37">
        <f>MAX(0,L101-Table1[[#This Row],[due_date]])</f>
        <v>0</v>
      </c>
      <c r="N58" t="str">
        <f t="shared" si="1"/>
        <v>Current</v>
      </c>
      <c r="O58" s="17">
        <v>46025</v>
      </c>
    </row>
    <row r="59" spans="1:15" x14ac:dyDescent="0.35">
      <c r="A59" s="3" t="s">
        <v>91</v>
      </c>
      <c r="B59" s="3">
        <v>1</v>
      </c>
      <c r="C59" s="19">
        <v>45892</v>
      </c>
      <c r="D59" s="12">
        <f>Loan!J21/Loan!H21</f>
        <v>28333.333333333332</v>
      </c>
      <c r="E59" s="19">
        <v>45892</v>
      </c>
      <c r="F59" t="s">
        <v>146</v>
      </c>
      <c r="G59" s="12">
        <f>Table1[[#This Row],[amount_due]]</f>
        <v>28333.333333333332</v>
      </c>
      <c r="I59" s="12">
        <f t="shared" si="11"/>
        <v>28333.333333333332</v>
      </c>
      <c r="J59" s="12">
        <f>Table1[[#This Row],[Payment_amount]]</f>
        <v>28333.333333333332</v>
      </c>
      <c r="K59" s="10">
        <f>Table1[[#This Row],[cumulative_due]]-Table1[[#This Row],[cumulative_paid]]</f>
        <v>0</v>
      </c>
      <c r="M59" s="37">
        <f>MAX(0,L66-Table1[[#This Row],[due_date]])</f>
        <v>158</v>
      </c>
      <c r="N59" t="str">
        <f t="shared" si="1"/>
        <v>90+</v>
      </c>
      <c r="O59" s="17">
        <v>46026</v>
      </c>
    </row>
    <row r="60" spans="1:15" x14ac:dyDescent="0.35">
      <c r="A60" s="3" t="s">
        <v>91</v>
      </c>
      <c r="B60" s="3">
        <v>2</v>
      </c>
      <c r="C60" s="19">
        <v>45923</v>
      </c>
      <c r="D60" s="12">
        <f>D59</f>
        <v>28333.333333333332</v>
      </c>
      <c r="E60" s="19">
        <v>45923</v>
      </c>
      <c r="F60" t="s">
        <v>146</v>
      </c>
      <c r="G60" s="12">
        <f>Table1[[#This Row],[amount_due]]</f>
        <v>28333.333333333332</v>
      </c>
      <c r="I60" s="12">
        <f t="shared" si="11"/>
        <v>56666.666666666664</v>
      </c>
      <c r="J60" s="12">
        <f>J59+G59</f>
        <v>56666.666666666664</v>
      </c>
      <c r="K60" s="10">
        <f>Table1[[#This Row],[cumulative_due]]-Table1[[#This Row],[cumulative_paid]]</f>
        <v>0</v>
      </c>
      <c r="M60" s="37">
        <f>MAX(0,L66-Table1[[#This Row],[due_date]])</f>
        <v>127</v>
      </c>
      <c r="N60" t="str">
        <f t="shared" si="1"/>
        <v>90+</v>
      </c>
      <c r="O60" s="17">
        <v>46027</v>
      </c>
    </row>
    <row r="61" spans="1:15" x14ac:dyDescent="0.35">
      <c r="A61" s="3" t="s">
        <v>91</v>
      </c>
      <c r="B61" s="3">
        <v>3</v>
      </c>
      <c r="C61" s="19">
        <v>45953</v>
      </c>
      <c r="D61" s="12">
        <f>D59</f>
        <v>28333.333333333332</v>
      </c>
      <c r="E61" s="19">
        <v>45953</v>
      </c>
      <c r="F61" t="s">
        <v>146</v>
      </c>
      <c r="G61" s="12">
        <f>Table1[[#This Row],[amount_due]]</f>
        <v>28333.333333333332</v>
      </c>
      <c r="I61" s="12">
        <f t="shared" si="11"/>
        <v>85000</v>
      </c>
      <c r="J61" s="12">
        <f>J60+G60</f>
        <v>85000</v>
      </c>
      <c r="K61" s="10">
        <f>Table1[[#This Row],[cumulative_due]]-Table1[[#This Row],[cumulative_paid]]</f>
        <v>0</v>
      </c>
      <c r="M61" s="37">
        <f>MAX(0,L66-Table1[[#This Row],[due_date]])</f>
        <v>97</v>
      </c>
      <c r="N61" t="str">
        <f t="shared" si="1"/>
        <v>90+</v>
      </c>
      <c r="O61" s="17">
        <v>46028</v>
      </c>
    </row>
    <row r="62" spans="1:15" x14ac:dyDescent="0.35">
      <c r="A62" s="3"/>
      <c r="G62" s="12"/>
      <c r="I62" s="12">
        <f t="shared" si="11"/>
        <v>0</v>
      </c>
      <c r="J62" s="12"/>
      <c r="K62" s="10"/>
      <c r="M62" s="37">
        <f>MAX(0,L105-Table1[[#This Row],[due_date]])</f>
        <v>0</v>
      </c>
      <c r="N62" t="str">
        <f t="shared" si="1"/>
        <v>Current</v>
      </c>
      <c r="O62" s="17">
        <v>46029</v>
      </c>
    </row>
    <row r="63" spans="1:15" x14ac:dyDescent="0.35">
      <c r="A63" s="3"/>
      <c r="B63" s="3"/>
      <c r="C63" s="19"/>
      <c r="E63" s="19"/>
      <c r="G63" s="12"/>
      <c r="J63" s="12"/>
      <c r="K63" s="10"/>
      <c r="M63" s="37">
        <f>MAX(0,L104-Table1[[#This Row],[due_date]])</f>
        <v>0</v>
      </c>
      <c r="N63" t="str">
        <f t="shared" si="1"/>
        <v>Current</v>
      </c>
      <c r="O63" s="39">
        <f t="shared" ref="O63:O64" si="15">L123</f>
        <v>0</v>
      </c>
    </row>
    <row r="64" spans="1:15" x14ac:dyDescent="0.35">
      <c r="A64" s="3"/>
      <c r="B64" s="3"/>
      <c r="C64" s="19"/>
      <c r="E64" s="19"/>
      <c r="G64" s="12"/>
      <c r="J64" s="12"/>
      <c r="K64" s="10"/>
      <c r="M64" s="37">
        <f>MAX(0,L105-Table1[[#This Row],[due_date]])</f>
        <v>0</v>
      </c>
      <c r="N64" t="str">
        <f t="shared" si="1"/>
        <v>Current</v>
      </c>
      <c r="O64" s="39">
        <f t="shared" si="15"/>
        <v>0</v>
      </c>
    </row>
    <row r="66" spans="11:12" x14ac:dyDescent="0.35">
      <c r="K66" s="2" t="s">
        <v>185</v>
      </c>
      <c r="L66" s="7">
        <v>46050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opLeftCell="B1" workbookViewId="0">
      <selection activeCell="C11" sqref="C11"/>
    </sheetView>
  </sheetViews>
  <sheetFormatPr defaultRowHeight="14.5" x14ac:dyDescent="0.35"/>
  <cols>
    <col min="1" max="1" width="23.7265625" bestFit="1" customWidth="1"/>
    <col min="2" max="2" width="72.7265625" style="2" bestFit="1" customWidth="1"/>
    <col min="3" max="3" width="84.54296875" style="2" bestFit="1" customWidth="1"/>
  </cols>
  <sheetData>
    <row r="1" spans="1:3" x14ac:dyDescent="0.35">
      <c r="A1" s="34" t="s">
        <v>153</v>
      </c>
      <c r="B1" s="35" t="s">
        <v>154</v>
      </c>
      <c r="C1" s="35" t="s">
        <v>155</v>
      </c>
    </row>
    <row r="2" spans="1:3" x14ac:dyDescent="0.35">
      <c r="A2" s="32" t="s">
        <v>156</v>
      </c>
      <c r="B2" s="33" t="s">
        <v>157</v>
      </c>
      <c r="C2" s="33" t="s">
        <v>158</v>
      </c>
    </row>
    <row r="3" spans="1:3" x14ac:dyDescent="0.35">
      <c r="A3" s="32" t="s">
        <v>159</v>
      </c>
      <c r="B3" s="33" t="s">
        <v>160</v>
      </c>
      <c r="C3" s="33" t="s">
        <v>161</v>
      </c>
    </row>
    <row r="4" spans="1:3" x14ac:dyDescent="0.35">
      <c r="A4" s="32" t="s">
        <v>162</v>
      </c>
      <c r="B4" s="33" t="s">
        <v>183</v>
      </c>
      <c r="C4" s="33" t="s">
        <v>163</v>
      </c>
    </row>
    <row r="5" spans="1:3" x14ac:dyDescent="0.35">
      <c r="A5" s="32" t="s">
        <v>164</v>
      </c>
      <c r="B5" s="33" t="s">
        <v>165</v>
      </c>
      <c r="C5" s="33" t="s">
        <v>166</v>
      </c>
    </row>
    <row r="6" spans="1:3" x14ac:dyDescent="0.35">
      <c r="A6" s="32" t="s">
        <v>167</v>
      </c>
      <c r="B6" s="33" t="s">
        <v>168</v>
      </c>
      <c r="C6" s="33" t="s">
        <v>169</v>
      </c>
    </row>
    <row r="7" spans="1:3" x14ac:dyDescent="0.35">
      <c r="A7" s="32" t="s">
        <v>170</v>
      </c>
      <c r="B7" s="33" t="s">
        <v>171</v>
      </c>
      <c r="C7" s="33" t="s">
        <v>172</v>
      </c>
    </row>
    <row r="8" spans="1:3" x14ac:dyDescent="0.35">
      <c r="A8" s="32" t="s">
        <v>173</v>
      </c>
      <c r="B8" s="33" t="s">
        <v>174</v>
      </c>
      <c r="C8" s="33" t="s">
        <v>175</v>
      </c>
    </row>
    <row r="9" spans="1:3" x14ac:dyDescent="0.35">
      <c r="A9" s="32" t="s">
        <v>176</v>
      </c>
      <c r="B9" s="33" t="s">
        <v>177</v>
      </c>
      <c r="C9" s="33" t="s">
        <v>178</v>
      </c>
    </row>
    <row r="10" spans="1:3" x14ac:dyDescent="0.35">
      <c r="A10" s="32" t="s">
        <v>113</v>
      </c>
      <c r="B10" s="33" t="s">
        <v>179</v>
      </c>
      <c r="C10" s="33" t="s">
        <v>180</v>
      </c>
    </row>
    <row r="11" spans="1:3" x14ac:dyDescent="0.35">
      <c r="A11" s="32" t="s">
        <v>114</v>
      </c>
      <c r="B11" s="33" t="s">
        <v>181</v>
      </c>
      <c r="C11" s="33" t="s">
        <v>182</v>
      </c>
    </row>
    <row r="12" spans="1:3" x14ac:dyDescent="0.35">
      <c r="B12"/>
      <c r="C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sqref="A1:A1048576"/>
    </sheetView>
  </sheetViews>
  <sheetFormatPr defaultRowHeight="14.5" x14ac:dyDescent="0.35"/>
  <cols>
    <col min="1" max="1" width="22.1796875" style="2" customWidth="1"/>
    <col min="2" max="2" width="82.26953125" style="47" customWidth="1"/>
    <col min="3" max="3" width="52.1796875" style="5" customWidth="1"/>
  </cols>
  <sheetData>
    <row r="1" spans="1:3" x14ac:dyDescent="0.35">
      <c r="A1" s="44" t="s">
        <v>188</v>
      </c>
      <c r="B1" s="41" t="s">
        <v>189</v>
      </c>
      <c r="C1" s="45" t="s">
        <v>190</v>
      </c>
    </row>
    <row r="2" spans="1:3" ht="26" x14ac:dyDescent="0.35">
      <c r="A2" s="42" t="s">
        <v>191</v>
      </c>
      <c r="B2" s="43" t="s">
        <v>192</v>
      </c>
      <c r="C2" s="46" t="s">
        <v>193</v>
      </c>
    </row>
    <row r="3" spans="1:3" ht="26" x14ac:dyDescent="0.35">
      <c r="A3" s="42" t="s">
        <v>194</v>
      </c>
      <c r="B3" s="43" t="s">
        <v>195</v>
      </c>
      <c r="C3" s="46" t="s">
        <v>196</v>
      </c>
    </row>
    <row r="4" spans="1:3" ht="38.5" x14ac:dyDescent="0.35">
      <c r="A4" s="42" t="s">
        <v>197</v>
      </c>
      <c r="B4" s="43" t="s">
        <v>198</v>
      </c>
      <c r="C4" s="46" t="s">
        <v>199</v>
      </c>
    </row>
    <row r="5" spans="1:3" ht="38.5" x14ac:dyDescent="0.35">
      <c r="A5" s="42" t="s">
        <v>200</v>
      </c>
      <c r="B5" s="43" t="s">
        <v>201</v>
      </c>
      <c r="C5" s="46" t="s">
        <v>202</v>
      </c>
    </row>
    <row r="6" spans="1:3" ht="26" x14ac:dyDescent="0.35">
      <c r="A6" s="42" t="s">
        <v>203</v>
      </c>
      <c r="B6" s="43" t="s">
        <v>204</v>
      </c>
      <c r="C6" s="46" t="s">
        <v>205</v>
      </c>
    </row>
    <row r="7" spans="1:3" ht="26" x14ac:dyDescent="0.35">
      <c r="A7" s="42" t="s">
        <v>206</v>
      </c>
      <c r="B7" s="43" t="s">
        <v>207</v>
      </c>
      <c r="C7" s="46" t="s">
        <v>208</v>
      </c>
    </row>
    <row r="8" spans="1:3" x14ac:dyDescent="0.35">
      <c r="A8" s="42" t="s">
        <v>209</v>
      </c>
      <c r="B8" s="43" t="s">
        <v>210</v>
      </c>
      <c r="C8" s="46" t="s">
        <v>211</v>
      </c>
    </row>
    <row r="9" spans="1:3" x14ac:dyDescent="0.35">
      <c r="A9" s="42" t="s">
        <v>212</v>
      </c>
      <c r="B9" s="43" t="s">
        <v>213</v>
      </c>
      <c r="C9" s="46" t="s">
        <v>214</v>
      </c>
    </row>
    <row r="10" spans="1:3" ht="26" x14ac:dyDescent="0.35">
      <c r="A10" s="42" t="s">
        <v>112</v>
      </c>
      <c r="B10" s="43" t="s">
        <v>215</v>
      </c>
      <c r="C10" s="46" t="s">
        <v>216</v>
      </c>
    </row>
    <row r="11" spans="1:3" x14ac:dyDescent="0.35">
      <c r="A11" s="42" t="s">
        <v>217</v>
      </c>
      <c r="B11" s="43" t="s">
        <v>218</v>
      </c>
      <c r="C11" s="46" t="s">
        <v>219</v>
      </c>
    </row>
    <row r="12" spans="1:3" x14ac:dyDescent="0.35">
      <c r="A12" s="42" t="s">
        <v>220</v>
      </c>
      <c r="B12" s="43" t="s">
        <v>221</v>
      </c>
      <c r="C12" s="46" t="s">
        <v>222</v>
      </c>
    </row>
    <row r="13" spans="1:3" x14ac:dyDescent="0.35">
      <c r="A13" s="42" t="s">
        <v>223</v>
      </c>
      <c r="B13" s="43" t="s">
        <v>224</v>
      </c>
      <c r="C13" s="46" t="s">
        <v>225</v>
      </c>
    </row>
    <row r="14" spans="1:3" ht="26" x14ac:dyDescent="0.35">
      <c r="A14" s="42" t="s">
        <v>226</v>
      </c>
      <c r="B14" s="43" t="s">
        <v>227</v>
      </c>
      <c r="C14" s="46" t="s">
        <v>228</v>
      </c>
    </row>
    <row r="15" spans="1:3" ht="38.5" x14ac:dyDescent="0.35">
      <c r="A15" s="42" t="s">
        <v>229</v>
      </c>
      <c r="B15" s="43" t="s">
        <v>230</v>
      </c>
      <c r="C15" s="46" t="s">
        <v>231</v>
      </c>
    </row>
    <row r="16" spans="1:3" x14ac:dyDescent="0.35">
      <c r="A16" s="42" t="s">
        <v>232</v>
      </c>
      <c r="B16" s="43" t="s">
        <v>233</v>
      </c>
      <c r="C16" s="46" t="s">
        <v>234</v>
      </c>
    </row>
    <row r="17" spans="1:3" ht="38.5" x14ac:dyDescent="0.35">
      <c r="A17" s="42" t="s">
        <v>235</v>
      </c>
      <c r="B17" s="43" t="s">
        <v>236</v>
      </c>
      <c r="C17" s="46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3" sqref="B13"/>
    </sheetView>
  </sheetViews>
  <sheetFormatPr defaultRowHeight="14.5" x14ac:dyDescent="0.35"/>
  <cols>
    <col min="1" max="1" width="19.90625" bestFit="1" customWidth="1"/>
    <col min="2" max="2" width="22.7265625" style="2" customWidth="1"/>
    <col min="3" max="3" width="33.36328125" style="2" customWidth="1"/>
  </cols>
  <sheetData>
    <row r="1" spans="1:3" x14ac:dyDescent="0.35">
      <c r="A1" t="s">
        <v>238</v>
      </c>
      <c r="B1" s="2" t="s">
        <v>239</v>
      </c>
      <c r="C1" s="2" t="s">
        <v>240</v>
      </c>
    </row>
    <row r="2" spans="1:3" x14ac:dyDescent="0.35">
      <c r="A2" t="s">
        <v>241</v>
      </c>
      <c r="B2" s="2">
        <v>20</v>
      </c>
      <c r="C2" s="2">
        <v>20</v>
      </c>
    </row>
    <row r="3" spans="1:3" x14ac:dyDescent="0.35">
      <c r="A3" t="s">
        <v>242</v>
      </c>
      <c r="B3" s="2">
        <v>60</v>
      </c>
      <c r="C3" s="2">
        <v>60</v>
      </c>
    </row>
    <row r="4" spans="1:3" ht="26" x14ac:dyDescent="0.35">
      <c r="A4" s="46" t="s">
        <v>243</v>
      </c>
      <c r="B4" s="12">
        <f>SUM(Loan!E2:E21)</f>
        <v>2205000</v>
      </c>
      <c r="C4" s="18">
        <f>B4</f>
        <v>2205000</v>
      </c>
    </row>
    <row r="5" spans="1:3" ht="26" x14ac:dyDescent="0.35">
      <c r="A5" s="46" t="s">
        <v>244</v>
      </c>
      <c r="C5" s="12">
        <f>SUM(Loan!J2:J21)</f>
        <v>2520300</v>
      </c>
    </row>
    <row r="6" spans="1:3" ht="26" x14ac:dyDescent="0.35">
      <c r="A6" s="46" t="s">
        <v>245</v>
      </c>
      <c r="C6" s="12">
        <f>SUM(Installment!I33:I61)</f>
        <v>2637400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opLeftCell="A19" workbookViewId="0">
      <selection activeCell="A19" sqref="A19"/>
    </sheetView>
  </sheetViews>
  <sheetFormatPr defaultColWidth="8.6328125" defaultRowHeight="14.5" x14ac:dyDescent="0.35"/>
  <cols>
    <col min="1" max="1" width="3" style="48" customWidth="1"/>
    <col min="2" max="15" width="15" style="48" customWidth="1"/>
    <col min="16" max="16" width="10" style="48" customWidth="1"/>
    <col min="21" max="21" width="1" style="48" customWidth="1"/>
  </cols>
  <sheetData>
    <row r="1" spans="2:21" ht="15" customHeight="1" x14ac:dyDescent="0.35">
      <c r="U1" s="49"/>
    </row>
    <row r="2" spans="2:21" ht="24" customHeight="1" x14ac:dyDescent="0.5">
      <c r="B2" s="50" t="s">
        <v>246</v>
      </c>
      <c r="U2" s="49"/>
    </row>
    <row r="3" spans="2:21" ht="13.5" customHeight="1" x14ac:dyDescent="0.35">
      <c r="B3" s="51" t="s">
        <v>247</v>
      </c>
    </row>
    <row r="5" spans="2:21" ht="15" customHeight="1" x14ac:dyDescent="0.35">
      <c r="B5" s="52" t="s">
        <v>248</v>
      </c>
    </row>
    <row r="6" spans="2:21" ht="15" customHeight="1" x14ac:dyDescent="0.35">
      <c r="B6" s="53" t="s">
        <v>191</v>
      </c>
      <c r="C6" s="54">
        <v>46050</v>
      </c>
      <c r="D6" s="54"/>
      <c r="F6" s="55" t="s">
        <v>249</v>
      </c>
      <c r="G6" s="55"/>
      <c r="H6" s="55"/>
      <c r="I6" s="55"/>
      <c r="J6" s="55"/>
      <c r="K6" s="55"/>
      <c r="L6" s="55"/>
    </row>
    <row r="7" spans="2:21" ht="15" customHeight="1" x14ac:dyDescent="0.35">
      <c r="B7" s="53" t="s">
        <v>232</v>
      </c>
      <c r="C7" s="56" t="s">
        <v>250</v>
      </c>
      <c r="D7" s="56"/>
      <c r="F7" s="55"/>
      <c r="G7" s="55"/>
      <c r="H7" s="55"/>
      <c r="I7" s="55"/>
      <c r="J7" s="55"/>
      <c r="K7" s="55"/>
      <c r="L7" s="55"/>
    </row>
    <row r="8" spans="2:21" ht="15" customHeight="1" x14ac:dyDescent="0.35">
      <c r="B8" s="53" t="s">
        <v>229</v>
      </c>
      <c r="C8" s="56" t="s">
        <v>250</v>
      </c>
      <c r="D8" s="56"/>
      <c r="F8" s="55"/>
      <c r="G8" s="55"/>
      <c r="H8" s="55"/>
      <c r="I8" s="55"/>
      <c r="J8" s="55"/>
      <c r="K8" s="55"/>
      <c r="L8" s="55"/>
    </row>
    <row r="9" spans="2:21" ht="15" customHeight="1" x14ac:dyDescent="0.35">
      <c r="B9" s="53" t="s">
        <v>226</v>
      </c>
      <c r="C9" s="56" t="s">
        <v>250</v>
      </c>
      <c r="D9" s="56"/>
      <c r="F9" s="55"/>
      <c r="G9" s="55"/>
      <c r="H9" s="55"/>
      <c r="I9" s="55"/>
      <c r="J9" s="55"/>
      <c r="K9" s="55"/>
      <c r="L9" s="55"/>
    </row>
    <row r="11" spans="2:21" ht="15" customHeight="1" x14ac:dyDescent="0.35">
      <c r="B11" s="52" t="s">
        <v>251</v>
      </c>
    </row>
    <row r="12" spans="2:21" ht="15" customHeight="1" x14ac:dyDescent="0.35">
      <c r="B12" s="51" t="str">
        <f>"As of "&amp;TEXT($C$6,"dd mmm yyyy")&amp;"  |  Product: "&amp;$C$7&amp;"  |  Channel: "&amp;$C$8&amp;"  |  Customer Type: "&amp;$C$9</f>
        <v>As of 28 Jan 2026  |  Product: All  |  Channel: All  |  Customer Type: All</v>
      </c>
    </row>
    <row r="13" spans="2:21" ht="15" customHeight="1" x14ac:dyDescent="0.35">
      <c r="B13" s="57" t="s">
        <v>194</v>
      </c>
      <c r="C13" s="57"/>
      <c r="D13" s="57"/>
      <c r="E13" s="57" t="s">
        <v>197</v>
      </c>
      <c r="F13" s="57"/>
      <c r="G13" s="57"/>
      <c r="H13" s="57" t="s">
        <v>200</v>
      </c>
      <c r="I13" s="57"/>
      <c r="J13" s="57"/>
      <c r="K13" s="57" t="s">
        <v>203</v>
      </c>
      <c r="L13" s="57"/>
      <c r="M13" s="57"/>
      <c r="N13" s="57" t="s">
        <v>206</v>
      </c>
      <c r="O13" s="57"/>
      <c r="P13" s="57"/>
      <c r="Q13" s="57" t="s">
        <v>209</v>
      </c>
      <c r="R13" s="57"/>
      <c r="S13" s="57"/>
    </row>
    <row r="14" spans="2:21" ht="15" customHeight="1" x14ac:dyDescent="0.35">
      <c r="B14" s="58">
        <f>SUMPRODUCT(('[1]Calc - Loan Summary'!$J$5:$J$24=1)*(('[1]Calc - Loan Summary'!$C$5:$C$24=$C$7)+($C$7="All")&gt;0)*(('[1]Calc - Loan Summary'!$D$5:$D$24=$C$8)+($C$8="All")&gt;0)*(('[1]Calc - Loan Summary'!$E$5:$E$24=$C$9)+($C$9="All")&gt;0))</f>
        <v>20</v>
      </c>
      <c r="C14" s="58"/>
      <c r="D14" s="58"/>
      <c r="E14" s="58">
        <f>SUMPRODUCT(('[1]Calc - Loan Summary'!$J$5:$J$24=1)*('[1]Calc - Loan Summary'!$O$5:$O$24&gt;0)*(('[1]Calc - Loan Summary'!$C$5:$C$24=$C$7)+($C$7="All")&gt;0)*(('[1]Calc - Loan Summary'!$D$5:$D$24=$C$8)+($C$8="All")&gt;0)*(('[1]Calc - Loan Summary'!$E$5:$E$24=$C$9)+($C$9="All")&gt;0))</f>
        <v>13</v>
      </c>
      <c r="F14" s="58"/>
      <c r="G14" s="58"/>
      <c r="H14" s="59">
        <f>SUM(Installment!H8:H61)</f>
        <v>431666.66666666657</v>
      </c>
      <c r="I14" s="59"/>
      <c r="J14" s="59"/>
      <c r="K14" s="59">
        <f>SUM(Installment!D2:D61)</f>
        <v>2520299.9999999995</v>
      </c>
      <c r="L14" s="59"/>
      <c r="M14" s="59"/>
      <c r="N14" s="59">
        <f>SUM(Installment!J2:J61)</f>
        <v>3416466.666666667</v>
      </c>
      <c r="O14" s="59"/>
      <c r="P14" s="59"/>
      <c r="Q14" s="60">
        <f>IFERROR(N14/K14,0)</f>
        <v>1.3555793622452357</v>
      </c>
      <c r="R14" s="60"/>
      <c r="S14" s="60"/>
    </row>
    <row r="15" spans="2:21" ht="15" customHeight="1" x14ac:dyDescent="0.35">
      <c r="B15" s="58"/>
      <c r="C15" s="58"/>
      <c r="D15" s="58"/>
      <c r="E15" s="58"/>
      <c r="F15" s="58"/>
      <c r="G15" s="58"/>
      <c r="H15" s="59"/>
      <c r="I15" s="59"/>
      <c r="J15" s="59"/>
      <c r="K15" s="59"/>
      <c r="L15" s="59"/>
      <c r="M15" s="59"/>
      <c r="N15" s="59"/>
      <c r="O15" s="59"/>
      <c r="P15" s="59"/>
      <c r="Q15" s="60"/>
      <c r="R15" s="60"/>
      <c r="S15" s="60"/>
    </row>
    <row r="16" spans="2:21" ht="15" customHeight="1" x14ac:dyDescent="0.35">
      <c r="B16" s="58"/>
      <c r="C16" s="58"/>
      <c r="D16" s="58"/>
      <c r="E16" s="58"/>
      <c r="F16" s="58"/>
      <c r="G16" s="58"/>
      <c r="H16" s="59"/>
      <c r="I16" s="59"/>
      <c r="J16" s="59"/>
      <c r="K16" s="59"/>
      <c r="L16" s="59"/>
      <c r="M16" s="59"/>
      <c r="N16" s="59"/>
      <c r="O16" s="59"/>
      <c r="P16" s="59"/>
      <c r="Q16" s="60"/>
      <c r="R16" s="60"/>
      <c r="S16" s="60"/>
    </row>
    <row r="18" spans="2:7" ht="15" customHeight="1" x14ac:dyDescent="0.35">
      <c r="B18" s="52" t="s">
        <v>252</v>
      </c>
    </row>
    <row r="19" spans="2:7" ht="34.5" customHeight="1" x14ac:dyDescent="0.35">
      <c r="B19" s="61" t="s">
        <v>220</v>
      </c>
      <c r="C19" s="61" t="s">
        <v>253</v>
      </c>
      <c r="D19" s="61" t="s">
        <v>254</v>
      </c>
      <c r="E19" s="61" t="s">
        <v>255</v>
      </c>
      <c r="F19" s="61" t="s">
        <v>256</v>
      </c>
      <c r="G19" s="61" t="s">
        <v>257</v>
      </c>
    </row>
    <row r="20" spans="2:7" ht="15" customHeight="1" x14ac:dyDescent="0.35">
      <c r="B20" s="62" t="s">
        <v>258</v>
      </c>
      <c r="C20" s="63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Summary'!$R$5:$R$24=$B20))</f>
        <v>11</v>
      </c>
      <c r="D20" s="64">
        <f>IFERROR(C20/SUMPRODUCT(('[1]Calc - Loan Summary'!$J$5:$J$24=1)*(('[1]Calc - Loan Summary'!$C$5:$C$24=$C$7)+($C$7="All")&gt;0)*(('[1]Calc - Loan Summary'!$D$5:$D$24=$C$8)+($C$8="All")&gt;0)*(('[1]Calc - Loan Summary'!$E$5:$E$24=$C$9)+($C$9="All")&gt;0)),0)</f>
        <v>0.55000000000000004</v>
      </c>
      <c r="E20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Summary'!$R$5:$R$24=$B20)*'[1]Calc - Loan Summary'!$M$5:$M$24)</f>
        <v>0</v>
      </c>
      <c r="F20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Summary'!$R$5:$R$24=$B20)*'[1]Calc - Loan Summary'!$O$5:$O$24)</f>
        <v>3.6470826358936392E-10</v>
      </c>
      <c r="G20" s="64">
        <f>IFERROR(F20/SUMPRODUCT(('[1]Calc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5.2821056975290308E-16</v>
      </c>
    </row>
    <row r="21" spans="2:7" ht="15" customHeight="1" x14ac:dyDescent="0.35">
      <c r="B21" s="62" t="s">
        <v>259</v>
      </c>
      <c r="C21" s="63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Summary'!$R$5:$R$24=$B21))</f>
        <v>0</v>
      </c>
      <c r="D21" s="64">
        <f>IFERROR(C21/SUMPRODUCT(('[1]Calc - Loan Summary'!$J$5:$J$24=1)*(('[1]Calc - Loan Summary'!$C$5:$C$24=$C$7)+($C$7="All")&gt;0)*(('[1]Calc - Loan Summary'!$D$5:$D$24=$C$8)+($C$8="All")&gt;0)*(('[1]Calc - Loan Summary'!$E$5:$E$24=$C$9)+($C$9="All")&gt;0)),0)</f>
        <v>0</v>
      </c>
      <c r="E21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Summary'!$R$5:$R$24=$B21)*'[1]Calc - Loan Summary'!$M$5:$M$24)</f>
        <v>0</v>
      </c>
      <c r="F21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Summary'!$R$5:$R$24=$B21)*'[1]Calc - Loan Summary'!$O$5:$O$24)</f>
        <v>0</v>
      </c>
      <c r="G21" s="64">
        <f>IFERROR(F21/SUMPRODUCT(('[1]Calc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</v>
      </c>
    </row>
    <row r="22" spans="2:7" ht="15" customHeight="1" x14ac:dyDescent="0.35">
      <c r="B22" s="62" t="s">
        <v>260</v>
      </c>
      <c r="C22" s="63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Summary'!$R$5:$R$24=$B22))</f>
        <v>0</v>
      </c>
      <c r="D22" s="64">
        <f>IFERROR(C22/SUMPRODUCT(('[1]Calc - Loan Summary'!$J$5:$J$24=1)*(('[1]Calc - Loan Summary'!$C$5:$C$24=$C$7)+($C$7="All")&gt;0)*(('[1]Calc - Loan Summary'!$D$5:$D$24=$C$8)+($C$8="All")&gt;0)*(('[1]Calc - Loan Summary'!$E$5:$E$24=$C$9)+($C$9="All")&gt;0)),0)</f>
        <v>0</v>
      </c>
      <c r="E22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Summary'!$R$5:$R$24=$B22)*'[1]Calc - Loan Summary'!$M$5:$M$24)</f>
        <v>0</v>
      </c>
      <c r="F22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Summary'!$R$5:$R$24=$B22)*'[1]Calc - Loan Summary'!$O$5:$O$24)</f>
        <v>0</v>
      </c>
      <c r="G22" s="64">
        <f>IFERROR(F22/SUMPRODUCT(('[1]Calc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</v>
      </c>
    </row>
    <row r="23" spans="2:7" ht="15" customHeight="1" x14ac:dyDescent="0.35">
      <c r="B23" s="62" t="s">
        <v>261</v>
      </c>
      <c r="C23" s="63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Summary'!$R$5:$R$24=$B23))</f>
        <v>0</v>
      </c>
      <c r="D23" s="64">
        <f>IFERROR(C23/SUMPRODUCT(('[1]Calc - Loan Summary'!$J$5:$J$24=1)*(('[1]Calc - Loan Summary'!$C$5:$C$24=$C$7)+($C$7="All")&gt;0)*(('[1]Calc - Loan Summary'!$D$5:$D$24=$C$8)+($C$8="All")&gt;0)*(('[1]Calc - Loan Summary'!$E$5:$E$24=$C$9)+($C$9="All")&gt;0)),0)</f>
        <v>0</v>
      </c>
      <c r="E23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Summary'!$R$5:$R$24=$B23)*'[1]Calc - Loan Summary'!$M$5:$M$24)</f>
        <v>0</v>
      </c>
      <c r="F23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Summary'!$R$5:$R$24=$B23)*'[1]Calc - Loan Summary'!$O$5:$O$24)</f>
        <v>0</v>
      </c>
      <c r="G23" s="64">
        <f>IFERROR(F23/SUMPRODUCT(('[1]Calc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</v>
      </c>
    </row>
    <row r="24" spans="2:7" ht="15" customHeight="1" x14ac:dyDescent="0.35">
      <c r="B24" s="66" t="s">
        <v>262</v>
      </c>
      <c r="C24" s="6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Summary'!$R$5:$R$24=$B24))</f>
        <v>0</v>
      </c>
      <c r="D24" s="68">
        <f>IFERROR(C24/SUMPRODUCT(('[1]Calc - Loan Summary'!$J$5:$J$24=1)*(('[1]Calc - Loan Summary'!$C$5:$C$24=$C$7)+($C$7="All")&gt;0)*(('[1]Calc - Loan Summary'!$D$5:$D$24=$C$8)+($C$8="All")&gt;0)*(('[1]Calc - Loan Summary'!$E$5:$E$24=$C$9)+($C$9="All")&gt;0)),0)</f>
        <v>0</v>
      </c>
      <c r="E24" s="69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Summary'!$R$5:$R$24=$B24)*'[1]Calc - Loan Summary'!$M$5:$M$24)</f>
        <v>0</v>
      </c>
      <c r="F24" s="69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Summary'!$R$5:$R$24=$B24)*'[1]Calc - Loan Summary'!$O$5:$O$24)</f>
        <v>0</v>
      </c>
      <c r="G24" s="68">
        <f>IFERROR(F24/SUMPRODUCT(('[1]Calc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</v>
      </c>
    </row>
    <row r="25" spans="2:7" ht="15" customHeight="1" x14ac:dyDescent="0.35">
      <c r="B25" s="66" t="s">
        <v>263</v>
      </c>
      <c r="C25" s="6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Summary'!$R$5:$R$24=$B25))</f>
        <v>9</v>
      </c>
      <c r="D25" s="68">
        <f>IFERROR(C25/SUMPRODUCT(('[1]Calc - Loan Summary'!$J$5:$J$24=1)*(('[1]Calc - Loan Summary'!$C$5:$C$24=$C$7)+($C$7="All")&gt;0)*(('[1]Calc - Loan Summary'!$D$5:$D$24=$C$8)+($C$8="All")&gt;0)*(('[1]Calc - Loan Summary'!$E$5:$E$24=$C$9)+($C$9="All")&gt;0)),0)</f>
        <v>0.45</v>
      </c>
      <c r="E25" s="69">
        <f>SUM(Installment!K4:K61)</f>
        <v>734866.66666666663</v>
      </c>
      <c r="F25" s="69">
        <f>SUM(Table1[outstanding])</f>
        <v>431666.66666666657</v>
      </c>
      <c r="G25" s="68">
        <f>IFERROR(F25/SUMPRODUCT(('[1]Calc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0.62518708432683279</v>
      </c>
    </row>
    <row r="26" spans="2:7" ht="15" customHeight="1" x14ac:dyDescent="0.35">
      <c r="B26" s="70" t="s">
        <v>264</v>
      </c>
      <c r="C26" s="70">
        <f>SUM(C20:C25)</f>
        <v>20</v>
      </c>
      <c r="D26" s="71">
        <f>SUM(D20:D25)</f>
        <v>1</v>
      </c>
      <c r="E26" s="72">
        <f>SUM(E20:E25)</f>
        <v>734866.66666666663</v>
      </c>
      <c r="F26" s="72">
        <f>SUM(F20:F25)</f>
        <v>431666.66666666692</v>
      </c>
      <c r="G26" s="71">
        <f>SUM(G20:G25)</f>
        <v>0.62518708432683334</v>
      </c>
    </row>
    <row r="28" spans="2:7" ht="15" customHeight="1" x14ac:dyDescent="0.35">
      <c r="B28" s="52" t="s">
        <v>265</v>
      </c>
    </row>
    <row r="29" spans="2:7" ht="23.25" customHeight="1" x14ac:dyDescent="0.35">
      <c r="B29" s="61" t="s">
        <v>223</v>
      </c>
      <c r="C29" s="61" t="s">
        <v>70</v>
      </c>
      <c r="D29" s="61" t="s">
        <v>66</v>
      </c>
      <c r="E29" s="61" t="s">
        <v>68</v>
      </c>
      <c r="F29" s="61" t="s">
        <v>264</v>
      </c>
    </row>
    <row r="30" spans="2:7" ht="15" customHeight="1" x14ac:dyDescent="0.35">
      <c r="B30" s="62" t="s">
        <v>266</v>
      </c>
      <c r="C30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Summary'!$G$5:$G$24=$B30)*('[1]Calc - Loan Summary'!$C$5:$C$24="Business Loan")*'[1]Calc - Loan Summary'!$H$5:$H$24)</f>
        <v>530000</v>
      </c>
      <c r="D30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Summary'!$G$5:$G$24=$B30)*('[1]Calc - Loan Summary'!$C$5:$C$24="Personal Loan")*'[1]Calc - Loan Summary'!$H$5:$H$24)</f>
        <v>935000</v>
      </c>
      <c r="E30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Summary'!$G$5:$G$24=$B30)*('[1]Calc - Loan Summary'!$C$5:$C$24="Salary Advance")*'[1]Calc - Loan Summary'!$H$5:$H$24)</f>
        <v>430000</v>
      </c>
      <c r="F30" s="73">
        <f>SUM(C30:E30)</f>
        <v>1895000</v>
      </c>
    </row>
    <row r="31" spans="2:7" ht="15" customHeight="1" x14ac:dyDescent="0.35">
      <c r="B31" s="62" t="s">
        <v>267</v>
      </c>
      <c r="C31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Summary'!$G$5:$G$24=$B31)*('[1]Calc - Loan Summary'!$C$5:$C$24="Business Loan")*'[1]Calc - Loan Summary'!$H$5:$H$24)</f>
        <v>0</v>
      </c>
      <c r="D31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Summary'!$G$5:$G$24=$B31)*('[1]Calc - Loan Summary'!$C$5:$C$24="Personal Loan")*'[1]Calc - Loan Summary'!$H$5:$H$24)</f>
        <v>0</v>
      </c>
      <c r="E31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Summary'!$G$5:$G$24=$B31)*('[1]Calc - Loan Summary'!$C$5:$C$24="Salary Advance")*'[1]Calc - Loan Summary'!$H$5:$H$24)</f>
        <v>70000</v>
      </c>
      <c r="F31" s="73">
        <f>SUM(C31:E31)</f>
        <v>70000</v>
      </c>
    </row>
    <row r="32" spans="2:7" ht="15" customHeight="1" x14ac:dyDescent="0.35">
      <c r="B32" s="62" t="s">
        <v>268</v>
      </c>
      <c r="C32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Summary'!$G$5:$G$24=$B32)*('[1]Calc - Loan Summary'!$C$5:$C$24="Business Loan")*'[1]Calc - Loan Summary'!$H$5:$H$24)</f>
        <v>110000</v>
      </c>
      <c r="D32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Summary'!$G$5:$G$24=$B32)*('[1]Calc - Loan Summary'!$C$5:$C$24="Personal Loan")*'[1]Calc - Loan Summary'!$H$5:$H$24)</f>
        <v>0</v>
      </c>
      <c r="E32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Summary'!$G$5:$G$24=$B32)*('[1]Calc - Loan Summary'!$C$5:$C$24="Salary Advance")*'[1]Calc - Loan Summary'!$H$5:$H$24)</f>
        <v>0</v>
      </c>
      <c r="F32" s="73">
        <f>SUM(C32:E32)</f>
        <v>110000</v>
      </c>
    </row>
    <row r="33" spans="2:15" ht="15" customHeight="1" x14ac:dyDescent="0.35">
      <c r="B33" s="62" t="s">
        <v>269</v>
      </c>
      <c r="C33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Summary'!$G$5:$G$24=$B33)*('[1]Calc - Loan Summary'!$C$5:$C$24="Business Loan")*'[1]Calc - Loan Summary'!$H$5:$H$24)</f>
        <v>0</v>
      </c>
      <c r="D33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Summary'!$G$5:$G$24=$B33)*('[1]Calc - Loan Summary'!$C$5:$C$24="Personal Loan")*'[1]Calc - Loan Summary'!$H$5:$H$24)</f>
        <v>0</v>
      </c>
      <c r="E33" s="6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Summary'!$G$5:$G$24=$B33)*('[1]Calc - Loan Summary'!$C$5:$C$24="Salary Advance")*'[1]Calc - Loan Summary'!$H$5:$H$24)</f>
        <v>130000</v>
      </c>
      <c r="F33" s="73">
        <f>SUM(C33:E33)</f>
        <v>130000</v>
      </c>
    </row>
    <row r="34" spans="2:15" ht="15" customHeight="1" x14ac:dyDescent="0.35">
      <c r="B34" s="70" t="s">
        <v>264</v>
      </c>
      <c r="C34" s="72">
        <f>SUM(C30:C33)</f>
        <v>640000</v>
      </c>
      <c r="D34" s="72">
        <f>SUM(D30:D33)</f>
        <v>935000</v>
      </c>
      <c r="E34" s="72">
        <f>SUM(E30:E33)</f>
        <v>630000</v>
      </c>
      <c r="F34" s="72">
        <f>SUM(F30:F33)</f>
        <v>2205000</v>
      </c>
    </row>
    <row r="35" spans="2:15" ht="15" customHeight="1" x14ac:dyDescent="0.35">
      <c r="B35" s="74" t="s">
        <v>270</v>
      </c>
    </row>
    <row r="37" spans="2:15" ht="15" customHeight="1" x14ac:dyDescent="0.35">
      <c r="B37" s="52" t="s">
        <v>271</v>
      </c>
    </row>
    <row r="38" spans="2:15" ht="18" customHeight="1" x14ac:dyDescent="0.35">
      <c r="B38" s="75" t="s">
        <v>272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</row>
    <row r="39" spans="2:15" ht="84.75" customHeight="1" x14ac:dyDescent="0.35">
      <c r="B39" s="76" t="s">
        <v>273</v>
      </c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</row>
    <row r="40" spans="2:15" ht="18" customHeight="1" x14ac:dyDescent="0.35">
      <c r="B40" s="77" t="s">
        <v>274</v>
      </c>
      <c r="C40" s="76" t="s">
        <v>275</v>
      </c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</row>
    <row r="41" spans="2:15" ht="64.5" customHeight="1" x14ac:dyDescent="0.35">
      <c r="B41" s="78" t="s">
        <v>276</v>
      </c>
      <c r="C41" s="76" t="s">
        <v>277</v>
      </c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</row>
    <row r="42" spans="2:15" ht="45" customHeight="1" x14ac:dyDescent="0.35">
      <c r="B42" s="79"/>
    </row>
    <row r="43" spans="2:15" ht="18" customHeight="1" x14ac:dyDescent="0.35">
      <c r="B43" s="75" t="s">
        <v>278</v>
      </c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</row>
    <row r="44" spans="2:15" ht="69.75" customHeight="1" x14ac:dyDescent="0.35">
      <c r="B44" s="76" t="s">
        <v>279</v>
      </c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</row>
    <row r="45" spans="2:15" ht="31.5" customHeight="1" x14ac:dyDescent="0.35">
      <c r="B45" s="77" t="s">
        <v>274</v>
      </c>
      <c r="C45" s="76" t="s">
        <v>280</v>
      </c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</row>
    <row r="46" spans="2:15" ht="54.75" customHeight="1" x14ac:dyDescent="0.35">
      <c r="B46" s="77" t="s">
        <v>276</v>
      </c>
      <c r="C46" s="76" t="s">
        <v>281</v>
      </c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</row>
  </sheetData>
  <mergeCells count="25">
    <mergeCell ref="C45:O45"/>
    <mergeCell ref="C46:O46"/>
    <mergeCell ref="B38:O38"/>
    <mergeCell ref="B39:O39"/>
    <mergeCell ref="C40:O40"/>
    <mergeCell ref="C41:O41"/>
    <mergeCell ref="B43:O43"/>
    <mergeCell ref="B44:O44"/>
    <mergeCell ref="N13:P13"/>
    <mergeCell ref="Q13:S13"/>
    <mergeCell ref="B14:D16"/>
    <mergeCell ref="E14:G16"/>
    <mergeCell ref="H14:J16"/>
    <mergeCell ref="K14:M16"/>
    <mergeCell ref="N14:P16"/>
    <mergeCell ref="Q14:S16"/>
    <mergeCell ref="C6:D6"/>
    <mergeCell ref="F6:L9"/>
    <mergeCell ref="C7:D7"/>
    <mergeCell ref="C8:D8"/>
    <mergeCell ref="C9:D9"/>
    <mergeCell ref="B13:D13"/>
    <mergeCell ref="E13:G13"/>
    <mergeCell ref="H13:J13"/>
    <mergeCell ref="K13:M13"/>
  </mergeCells>
  <dataValidations count="4">
    <dataValidation type="list" sqref="C9">
      <formula1>"All,Business Owner,Contractor,Employee,Freelancer,Salaried,Self-employed"</formula1>
      <formula2>0</formula2>
    </dataValidation>
    <dataValidation type="list" sqref="C8">
      <formula1>"All,Unknown"</formula1>
      <formula2>0</formula2>
    </dataValidation>
    <dataValidation type="list" sqref="C7">
      <formula1>"All,Business Loan,Personal Loan,Salary Advance"</formula1>
      <formula2>0</formula2>
    </dataValidation>
    <dataValidation type="date" showErrorMessage="1" errorTitle="Invalid date" error="Enter a date between 2025-07-01 and 2027-12-31." sqref="C6">
      <formula1>DATE(2025,7,1)</formula1>
      <formula2>DATE(2027,12,31)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</vt:lpstr>
      <vt:lpstr>Application</vt:lpstr>
      <vt:lpstr>Loan</vt:lpstr>
      <vt:lpstr>Installment</vt:lpstr>
      <vt:lpstr>Formula Allocation</vt:lpstr>
      <vt:lpstr>Metric</vt:lpstr>
      <vt:lpstr>Reconcilation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 C</dc:creator>
  <cp:lastModifiedBy>Editor C</cp:lastModifiedBy>
  <dcterms:created xsi:type="dcterms:W3CDTF">2026-07-27T19:56:05Z</dcterms:created>
  <dcterms:modified xsi:type="dcterms:W3CDTF">2026-09-18T05:41:15Z</dcterms:modified>
</cp:coreProperties>
</file>